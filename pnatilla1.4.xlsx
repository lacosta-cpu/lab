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\Desktop\platilla para\"/>
    </mc:Choice>
  </mc:AlternateContent>
  <bookViews>
    <workbookView xWindow="-120" yWindow="-120" windowWidth="25440" windowHeight="15540" tabRatio="539" activeTab="5"/>
  </bookViews>
  <sheets>
    <sheet name="Datos" sheetId="14" r:id="rId1"/>
    <sheet name="w%" sheetId="12" r:id="rId2"/>
    <sheet name="MO" sheetId="20" r:id="rId3"/>
    <sheet name="Gs" sheetId="18" r:id="rId4"/>
    <sheet name="Granulometría" sheetId="9" r:id="rId5"/>
    <sheet name="Límites" sheetId="19" r:id="rId6"/>
  </sheets>
  <externalReferences>
    <externalReference r:id="rId7"/>
    <externalReference r:id="rId8"/>
    <externalReference r:id="rId9"/>
    <externalReference r:id="rId10"/>
  </externalReferences>
  <definedNames>
    <definedName name="__TAB2" localSheetId="2">#REF!</definedName>
    <definedName name="__TAB2">#REF!</definedName>
    <definedName name="_TAB2" localSheetId="2">#REF!</definedName>
    <definedName name="_TAB2">#REF!</definedName>
    <definedName name="_xlnm.Print_Area" localSheetId="0">Datos!$B$2:$N$29</definedName>
    <definedName name="_xlnm.Print_Area" localSheetId="4">Granulometría!$B$2:$M$56</definedName>
    <definedName name="_xlnm.Print_Area" localSheetId="3">Gs!$B$2:$N$44</definedName>
    <definedName name="_xlnm.Print_Area" localSheetId="5">Límites!$B$2:$P$53</definedName>
    <definedName name="_xlnm.Print_Area" localSheetId="2">MO!$B$2:$S$43</definedName>
    <definedName name="_xlnm.Print_Area" localSheetId="1">'w%'!$B$2:$S$43</definedName>
    <definedName name="CARPETA">'[1]LIMITES '!$P$18:$R$37</definedName>
    <definedName name="DATOS" localSheetId="2">#REF!</definedName>
    <definedName name="DATOS">#REF!</definedName>
    <definedName name="DATOS2" localSheetId="2">#REF!</definedName>
    <definedName name="DATOS2">#REF!</definedName>
    <definedName name="FECTC">'[2]Marshall '!$C$53:$D$133</definedName>
    <definedName name="limite" localSheetId="2">#REF!</definedName>
    <definedName name="limite">#REF!</definedName>
    <definedName name="tabla">'[1]LIMITES '!$P$18:$R$37</definedName>
    <definedName name="TABLA2" localSheetId="2">#REF!</definedName>
    <definedName name="TABLA2">#REF!</definedName>
    <definedName name="tabla3">[3]LIMITES!$A$17</definedName>
    <definedName name="Z_90DFCA79_A252_4586_AC94_21D7BEFFC5A8_.wvu.PrintArea" localSheetId="0" hidden="1">Datos!$B$6:$N$30</definedName>
    <definedName name="Z_F8D27CC0_7F13_445B_8AA2_25AC1E23CD28_.wvu.PrintArea" localSheetId="0" hidden="1">Datos!$B$6:$N$30</definedName>
  </definedNames>
  <calcPr calcId="162913"/>
  <customWorkbookViews>
    <customWorkbookView name="ING. GUILLERMO - Vista personalizada" guid="{2A23423A-96B9-42CE-B535-DED11F8EB9C3}" mergeInterval="0" personalView="1" maximized="1" xWindow="-8" yWindow="-8" windowWidth="1382" windowHeight="744" tabRatio="568" activeSheetId="2"/>
    <customWorkbookView name="HP - Vista personalizada" guid="{16BC9301-B5EA-4DE2-A5AE-8EC202D816FB}" mergeInterval="0" personalView="1" maximized="1" windowWidth="1362" windowHeight="543" tabRatio="341" activeSheetId="1"/>
    <customWorkbookView name="FROYLAN - Vista personalizada" guid="{56B7454A-084C-4C67-8843-853BE99A904E}" mergeInterval="0" personalView="1" maximized="1" windowWidth="1020" windowHeight="527" tabRatio="34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8" i="18" l="1"/>
  <c r="F40" i="18"/>
  <c r="R28" i="18"/>
  <c r="F41" i="18"/>
  <c r="F7" i="12"/>
  <c r="E7" i="12"/>
  <c r="D7" i="20"/>
  <c r="C7" i="20"/>
  <c r="C7" i="12"/>
  <c r="F7" i="20"/>
  <c r="E7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I7" i="20"/>
  <c r="L7" i="20" s="1"/>
  <c r="N5" i="20"/>
  <c r="N4" i="20"/>
  <c r="N3" i="20"/>
  <c r="N28" i="19" l="1"/>
  <c r="J14" i="9"/>
  <c r="H16" i="19"/>
  <c r="S18" i="19" l="1"/>
  <c r="S19" i="19" s="1"/>
  <c r="D26" i="19"/>
  <c r="D25" i="19"/>
  <c r="H25" i="19" s="1"/>
  <c r="E17" i="19"/>
  <c r="E18" i="19"/>
  <c r="E19" i="19"/>
  <c r="E16" i="19"/>
  <c r="I16" i="19" s="1"/>
  <c r="I7" i="12"/>
  <c r="F31" i="18"/>
  <c r="F32" i="18"/>
  <c r="F33" i="18"/>
  <c r="J12" i="9" l="1"/>
  <c r="J15" i="9" s="1"/>
  <c r="E15" i="9"/>
  <c r="M10" i="19" l="1"/>
  <c r="E10" i="19"/>
  <c r="M9" i="19"/>
  <c r="E9" i="19"/>
  <c r="M8" i="19"/>
  <c r="E8" i="19"/>
  <c r="L10" i="18"/>
  <c r="L9" i="18"/>
  <c r="L8" i="18"/>
  <c r="D10" i="18"/>
  <c r="D9" i="18"/>
  <c r="D8" i="18"/>
  <c r="S43" i="19" l="1"/>
  <c r="S42" i="19"/>
  <c r="S40" i="19"/>
  <c r="T38" i="19"/>
  <c r="S37" i="19"/>
  <c r="S41" i="19" s="1"/>
  <c r="T35" i="19"/>
  <c r="T34" i="19"/>
  <c r="H26" i="19"/>
  <c r="G26" i="19"/>
  <c r="F25" i="14"/>
  <c r="G25" i="19"/>
  <c r="I19" i="19"/>
  <c r="H19" i="19"/>
  <c r="I18" i="19"/>
  <c r="H18" i="19"/>
  <c r="I17" i="19"/>
  <c r="H17" i="19"/>
  <c r="F29" i="18"/>
  <c r="F16" i="18"/>
  <c r="I25" i="9"/>
  <c r="J41" i="9" s="1"/>
  <c r="I23" i="9"/>
  <c r="J39" i="9" s="1"/>
  <c r="D23" i="9"/>
  <c r="D39" i="9" s="1"/>
  <c r="I25" i="19" l="1"/>
  <c r="I26" i="19"/>
  <c r="J16" i="19"/>
  <c r="J17" i="19"/>
  <c r="T37" i="19"/>
  <c r="J18" i="19"/>
  <c r="J19" i="19"/>
  <c r="N29" i="19" l="1"/>
  <c r="I28" i="19"/>
  <c r="Q24" i="9"/>
  <c r="V23" i="19"/>
  <c r="T52" i="19"/>
  <c r="T51" i="19"/>
  <c r="F30" i="18"/>
  <c r="K40" i="18"/>
  <c r="F20" i="18"/>
  <c r="F19" i="18"/>
  <c r="F18" i="18"/>
  <c r="F17" i="18"/>
  <c r="F23" i="14" l="1"/>
  <c r="N30" i="19"/>
  <c r="F24" i="14" s="1"/>
  <c r="G29" i="19"/>
  <c r="G30" i="19"/>
  <c r="F22" i="14"/>
  <c r="R18" i="19" l="1"/>
  <c r="P24" i="9" s="1"/>
  <c r="E13" i="9"/>
  <c r="E12" i="9"/>
  <c r="E10" i="9"/>
  <c r="E9" i="9"/>
  <c r="E8" i="9"/>
  <c r="D7" i="12"/>
  <c r="N5" i="12"/>
  <c r="N4" i="12"/>
  <c r="N3" i="12"/>
  <c r="R19" i="19" l="1"/>
  <c r="H28" i="19" s="1"/>
  <c r="L7" i="12" l="1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30" i="9"/>
  <c r="D53" i="9" s="1"/>
  <c r="I30" i="9"/>
  <c r="J51" i="9" s="1"/>
  <c r="D29" i="9"/>
  <c r="D51" i="9" s="1"/>
  <c r="I29" i="9"/>
  <c r="J49" i="9" s="1"/>
  <c r="D28" i="9"/>
  <c r="D49" i="9" s="1"/>
  <c r="I28" i="9"/>
  <c r="J47" i="9" s="1"/>
  <c r="D27" i="9"/>
  <c r="D47" i="9" s="1"/>
  <c r="I27" i="9"/>
  <c r="J45" i="9" s="1"/>
  <c r="D26" i="9"/>
  <c r="D45" i="9" s="1"/>
  <c r="I26" i="9"/>
  <c r="J43" i="9" s="1"/>
  <c r="D25" i="9"/>
  <c r="D43" i="9" s="1"/>
  <c r="D24" i="9"/>
  <c r="D41" i="9" s="1"/>
  <c r="N32" i="19" l="1"/>
  <c r="G31" i="19" s="1"/>
  <c r="H31" i="19" s="1"/>
  <c r="D42" i="9"/>
  <c r="D50" i="9"/>
  <c r="D46" i="9"/>
  <c r="D54" i="9"/>
  <c r="D40" i="9"/>
  <c r="D48" i="9"/>
  <c r="J40" i="9"/>
  <c r="J48" i="9"/>
  <c r="F27" i="14"/>
  <c r="J42" i="9"/>
  <c r="J50" i="9"/>
  <c r="D44" i="9"/>
  <c r="D52" i="9"/>
  <c r="H26" i="9"/>
  <c r="H30" i="9"/>
  <c r="J46" i="9"/>
  <c r="C28" i="9"/>
  <c r="C26" i="9"/>
  <c r="C23" i="9"/>
  <c r="C24" i="9"/>
  <c r="C27" i="9"/>
  <c r="C29" i="9"/>
  <c r="C30" i="9"/>
  <c r="C25" i="9"/>
  <c r="J44" i="9"/>
  <c r="J52" i="9"/>
  <c r="H23" i="9"/>
  <c r="H25" i="9"/>
  <c r="H27" i="9"/>
  <c r="H28" i="9"/>
  <c r="H29" i="9"/>
  <c r="E16" i="9" l="1"/>
  <c r="J16" i="9" s="1"/>
  <c r="J17" i="9" l="1"/>
  <c r="E17" i="9"/>
  <c r="K29" i="9" l="1"/>
  <c r="K25" i="9"/>
  <c r="K30" i="9"/>
  <c r="K26" i="9"/>
  <c r="K28" i="9"/>
  <c r="K27" i="9"/>
  <c r="K23" i="9"/>
  <c r="F26" i="9"/>
  <c r="F30" i="9"/>
  <c r="F28" i="9"/>
  <c r="F27" i="9"/>
  <c r="F24" i="9"/>
  <c r="F23" i="9"/>
  <c r="F25" i="9"/>
  <c r="F29" i="9"/>
  <c r="G23" i="9" l="1"/>
  <c r="E39" i="9" s="1"/>
  <c r="F14" i="14"/>
  <c r="L32" i="9"/>
  <c r="F18" i="14" s="1"/>
  <c r="G24" i="9" l="1"/>
  <c r="E41" i="9" s="1"/>
  <c r="G25" i="9" l="1"/>
  <c r="E43" i="9" s="1"/>
  <c r="G26" i="9" l="1"/>
  <c r="E45" i="9" s="1"/>
  <c r="G27" i="9" l="1"/>
  <c r="E47" i="9" s="1"/>
  <c r="G28" i="9" l="1"/>
  <c r="E49" i="9" s="1"/>
  <c r="G29" i="9" l="1"/>
  <c r="E51" i="9" s="1"/>
  <c r="G30" i="9" l="1"/>
  <c r="E53" i="9" l="1"/>
  <c r="L23" i="9"/>
  <c r="L33" i="9" s="1"/>
  <c r="L25" i="9" l="1"/>
  <c r="K41" i="9" s="1"/>
  <c r="K39" i="9"/>
  <c r="F15" i="14"/>
  <c r="F19" i="14" l="1"/>
  <c r="L26" i="9"/>
  <c r="K43" i="9" s="1"/>
  <c r="L27" i="9" l="1"/>
  <c r="K45" i="9" s="1"/>
  <c r="F16" i="14" l="1"/>
  <c r="L28" i="9"/>
  <c r="K47" i="9" s="1"/>
  <c r="L29" i="9" l="1"/>
  <c r="K49" i="9" s="1"/>
  <c r="L30" i="9" l="1"/>
  <c r="K51" i="9" s="1"/>
  <c r="F17" i="14" l="1"/>
  <c r="L35" i="9"/>
  <c r="L34" i="9"/>
  <c r="F20" i="14" l="1"/>
  <c r="Q26" i="9"/>
  <c r="G33" i="9" s="1"/>
  <c r="G28" i="14" s="1"/>
  <c r="P26" i="9"/>
  <c r="F33" i="9" s="1"/>
  <c r="L36" i="9"/>
  <c r="J32" i="9"/>
  <c r="J34" i="9"/>
  <c r="J33" i="9"/>
  <c r="J36" i="9" s="1"/>
  <c r="F21" i="14"/>
  <c r="F28" i="14" l="1"/>
  <c r="L13" i="19"/>
  <c r="J35" i="9"/>
  <c r="L40" i="18"/>
  <c r="L42" i="18" s="1"/>
  <c r="G32" i="19" s="1"/>
  <c r="F26" i="14" l="1"/>
</calcChain>
</file>

<file path=xl/sharedStrings.xml><?xml version="1.0" encoding="utf-8"?>
<sst xmlns="http://schemas.openxmlformats.org/spreadsheetml/2006/main" count="274" uniqueCount="161">
  <si>
    <t>Proyecto :</t>
  </si>
  <si>
    <t>Fecha :</t>
  </si>
  <si>
    <t>mm</t>
  </si>
  <si>
    <t>Nº</t>
  </si>
  <si>
    <t>cm</t>
  </si>
  <si>
    <t>gr</t>
  </si>
  <si>
    <t>Pulgada</t>
  </si>
  <si>
    <t>Numero de Muestra N° :</t>
  </si>
  <si>
    <t>Localizacion :</t>
  </si>
  <si>
    <t>Numero</t>
  </si>
  <si>
    <t>Peso</t>
  </si>
  <si>
    <t>Profundidad en metros m :</t>
  </si>
  <si>
    <t>Numero de muestra N° :</t>
  </si>
  <si>
    <t>Peso de la tara gr :</t>
  </si>
  <si>
    <t>D</t>
  </si>
  <si>
    <t>N°</t>
  </si>
  <si>
    <t>A</t>
  </si>
  <si>
    <r>
      <t xml:space="preserve">ANALISIS GRANULOMETRICO NORMA ASTM D422                                                                                                                                          </t>
    </r>
    <r>
      <rPr>
        <sz val="10"/>
        <color rgb="FF003300"/>
        <rFont val="Arial Narrow"/>
        <family val="2"/>
      </rPr>
      <t>Laboratorio de Mecanica de Suelos</t>
    </r>
  </si>
  <si>
    <t>Numero de Sondeo N° :</t>
  </si>
  <si>
    <t>MATERIAL CRIBADO MALLA 3" Y RETENIDO MALLA N°4</t>
  </si>
  <si>
    <t>MATERIAL CRIBADO MALLA N°4 Y RETENIDO MALLA N°200</t>
  </si>
  <si>
    <t>Datos de las mallas</t>
  </si>
  <si>
    <t>Peso del suelo/material</t>
  </si>
  <si>
    <t>Acumulativo</t>
  </si>
  <si>
    <t xml:space="preserve">Abertura </t>
  </si>
  <si>
    <t>Retenido</t>
  </si>
  <si>
    <t xml:space="preserve">Parcial </t>
  </si>
  <si>
    <t>que pasa</t>
  </si>
  <si>
    <t>in</t>
  </si>
  <si>
    <t xml:space="preserve"> gr</t>
  </si>
  <si>
    <t xml:space="preserve"> %</t>
  </si>
  <si>
    <t>%</t>
  </si>
  <si>
    <t>Material Predominante :</t>
  </si>
  <si>
    <r>
      <t>D</t>
    </r>
    <r>
      <rPr>
        <vertAlign val="subscript"/>
        <sz val="10"/>
        <rFont val="Arial Narrow"/>
        <family val="2"/>
      </rPr>
      <t>10 mm :</t>
    </r>
  </si>
  <si>
    <t>&gt; 3" % :</t>
  </si>
  <si>
    <t>Simbolo de Grupo :</t>
  </si>
  <si>
    <r>
      <t>D</t>
    </r>
    <r>
      <rPr>
        <vertAlign val="subscript"/>
        <sz val="10"/>
        <rFont val="Arial Narrow"/>
        <family val="2"/>
      </rPr>
      <t>30 mm :</t>
    </r>
  </si>
  <si>
    <t>Grava % :</t>
  </si>
  <si>
    <r>
      <t xml:space="preserve">Clasificación </t>
    </r>
    <r>
      <rPr>
        <sz val="8"/>
        <rFont val="Arial Narrow"/>
        <family val="2"/>
      </rPr>
      <t>S.U.C.S. :</t>
    </r>
  </si>
  <si>
    <r>
      <t>D</t>
    </r>
    <r>
      <rPr>
        <vertAlign val="subscript"/>
        <sz val="10"/>
        <rFont val="Arial Narrow"/>
        <family val="2"/>
      </rPr>
      <t>60 mm :</t>
    </r>
  </si>
  <si>
    <t>Arena % :</t>
  </si>
  <si>
    <r>
      <t>Grava Bien Graduada G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</si>
  <si>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>Cu = D</t>
    </r>
    <r>
      <rPr>
        <vertAlign val="subscript"/>
        <sz val="10"/>
        <rFont val="Arial Narrow"/>
        <family val="2"/>
      </rPr>
      <t>60</t>
    </r>
    <r>
      <rPr>
        <sz val="10"/>
        <rFont val="Arial Narrow"/>
        <family val="2"/>
      </rPr>
      <t>/D</t>
    </r>
    <r>
      <rPr>
        <vertAlign val="subscript"/>
        <sz val="10"/>
        <rFont val="Arial Narrow"/>
        <family val="2"/>
      </rPr>
      <t>10 :</t>
    </r>
  </si>
  <si>
    <t>Finos % :</t>
  </si>
  <si>
    <r>
      <t>Arena Bien Graduada S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</si>
  <si>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 xml:space="preserve">  Cc = (D</t>
    </r>
    <r>
      <rPr>
        <vertAlign val="subscript"/>
        <sz val="10"/>
        <rFont val="Arial Narrow"/>
        <family val="2"/>
      </rPr>
      <t>30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)/D</t>
    </r>
    <r>
      <rPr>
        <vertAlign val="subscript"/>
        <sz val="10"/>
        <rFont val="Arial Narrow"/>
        <family val="2"/>
      </rPr>
      <t>10</t>
    </r>
    <r>
      <rPr>
        <sz val="10"/>
        <rFont val="Arial Narrow"/>
        <family val="2"/>
      </rPr>
      <t>*D</t>
    </r>
    <r>
      <rPr>
        <vertAlign val="subscript"/>
        <sz val="10"/>
        <rFont val="Arial Narrow"/>
        <family val="2"/>
      </rPr>
      <t>60 :</t>
    </r>
  </si>
  <si>
    <t>Suma :</t>
  </si>
  <si>
    <r>
      <rPr>
        <sz val="14"/>
        <rFont val="Arial Narrow"/>
        <family val="2"/>
      </rPr>
      <t>DETERMINACION DEL LIMITE LIQUIDO LIMITE PLASTICO                                                                                                 E INDICE DE PLASTICIDAD ASTM D4318</t>
    </r>
    <r>
      <rPr>
        <sz val="18"/>
        <rFont val="Arial Narrow"/>
        <family val="2"/>
      </rPr>
      <t xml:space="preserve">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</si>
  <si>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Longitud</t>
  </si>
  <si>
    <t>Sondeo N° :</t>
  </si>
  <si>
    <t>Muestra N° :</t>
  </si>
  <si>
    <t>Profundidad m :</t>
  </si>
  <si>
    <t xml:space="preserve">LÍMITE LÍQUIDO </t>
  </si>
  <si>
    <t>LÍMITE PLÁSTICO</t>
  </si>
  <si>
    <t>Promedio</t>
  </si>
  <si>
    <t>Contenido Natural (Wn) :</t>
  </si>
  <si>
    <t>LINEA U</t>
  </si>
  <si>
    <t>Muestra</t>
  </si>
  <si>
    <t>DETERMINACION DE CONTENIDO DE AGUA (HUMEDAD), DE LA MASA DE SUELO ASTM D2216</t>
  </si>
  <si>
    <t>Profundidad Metros</t>
  </si>
  <si>
    <t>Datos de la Capsula</t>
  </si>
  <si>
    <t>Peso suelo+capsula</t>
  </si>
  <si>
    <t>Contenido</t>
  </si>
  <si>
    <t>Sondeo</t>
  </si>
  <si>
    <t>Centimetro</t>
  </si>
  <si>
    <t>Wsh+C</t>
  </si>
  <si>
    <t>Wss+C</t>
  </si>
  <si>
    <t>Natural</t>
  </si>
  <si>
    <t xml:space="preserve">m </t>
  </si>
  <si>
    <t>DESCRIPCION E IDENTIFICACION DE SUELOS (VISUAL Y MANUAL) ASTM D2488</t>
  </si>
  <si>
    <t>Peso de la muestra inicial:</t>
  </si>
  <si>
    <t>Retenido No. 4 gr  :</t>
  </si>
  <si>
    <t>Mat. que pasa No. 4 gr  :</t>
  </si>
  <si>
    <t>Peso húmedo mat que pasa No. 4 gr  :</t>
  </si>
  <si>
    <t>Peso seco mat que pasa No. 4 gr  :</t>
  </si>
  <si>
    <t>Contenido de agua mat que pasa No. 4:</t>
  </si>
  <si>
    <t>Mat. que pasa No. 4 corregido gr  :</t>
  </si>
  <si>
    <t>Muestra total corregida gr  :</t>
  </si>
  <si>
    <t>Submuestra 2</t>
  </si>
  <si>
    <t>Peso submuestra 2 gr :</t>
  </si>
  <si>
    <t>Índice de Consistencia Ic :</t>
  </si>
  <si>
    <t>Límite Líquido (LL) :</t>
  </si>
  <si>
    <t>Límite Plástico (LP) :</t>
  </si>
  <si>
    <t>Índice de Plasticidad (IP) :</t>
  </si>
  <si>
    <r>
      <rPr>
        <sz val="14"/>
        <rFont val="Arial Narrow"/>
        <family val="2"/>
      </rPr>
      <t xml:space="preserve">DETERMINACIÓN DE PESO UNITARIO DE SUELOS CON ÍNDICE DE DENSIDAD MÍNIMO SEGÚN LA NORMA ASTM D4254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</si>
  <si>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g</t>
  </si>
  <si>
    <t>-</t>
  </si>
  <si>
    <t>Características del Material</t>
  </si>
  <si>
    <t>Material Retenido en Malla de 3", %</t>
  </si>
  <si>
    <t>Material que Pasa la Malla No. 4, %</t>
  </si>
  <si>
    <t>Material que Pasa la Malla No. 40, %</t>
  </si>
  <si>
    <t>Material que Pasa la Malla No. 200, %</t>
  </si>
  <si>
    <t>Fragmentos de Roca, %</t>
  </si>
  <si>
    <t>Grava, %</t>
  </si>
  <si>
    <t>Arena, %</t>
  </si>
  <si>
    <t>Finos, %</t>
  </si>
  <si>
    <t>Límite Plástico, %</t>
  </si>
  <si>
    <t>Límite Líquido, %</t>
  </si>
  <si>
    <t>Índice Plástico, %</t>
  </si>
  <si>
    <t>Contenido de agua natural, %</t>
  </si>
  <si>
    <t>Clasificación S.U.C.S.</t>
  </si>
  <si>
    <t>Parametro analizado</t>
  </si>
  <si>
    <t xml:space="preserve">a </t>
  </si>
  <si>
    <t/>
  </si>
  <si>
    <t>Resultado de laboratorio</t>
  </si>
  <si>
    <t>Temp. Sup. (°C)</t>
  </si>
  <si>
    <t>Temp. Med. (°C)</t>
  </si>
  <si>
    <t>Temp. Inf. (°C)</t>
  </si>
  <si>
    <t>Temp. Prom. (°C)</t>
  </si>
  <si>
    <t>Matraz</t>
  </si>
  <si>
    <t>Temp. (°C)</t>
  </si>
  <si>
    <t>Tara No.</t>
  </si>
  <si>
    <t>Densidad relativa de sólidos</t>
  </si>
  <si>
    <t>COPA DE CASAGRANDE</t>
  </si>
  <si>
    <t>No. de golpes</t>
  </si>
  <si>
    <t>No. de tara</t>
  </si>
  <si>
    <t>ω</t>
  </si>
  <si>
    <t>CONTRACCIÓN LINEAL</t>
  </si>
  <si>
    <t>No. de barra</t>
  </si>
  <si>
    <t xml:space="preserve">   </t>
  </si>
  <si>
    <t>Para dibujo de líneas auxiliares</t>
  </si>
  <si>
    <t>CLASIFICACIÓN S.U.C.S.</t>
  </si>
  <si>
    <t>DENSIDAD DE SÓLIDOS</t>
  </si>
  <si>
    <t>LÍNEA A</t>
  </si>
  <si>
    <r>
      <t>Peso 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(g)</t>
    </r>
  </si>
  <si>
    <r>
      <t>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</si>
  <si>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fws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</si>
  <si>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t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</si>
  <si>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t+s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</si>
  <si>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</si>
  <si>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rFont val="Arial Narrow"/>
        <family val="2"/>
      </rPr>
      <t>t</t>
    </r>
  </si>
  <si>
    <r>
      <t>W</t>
    </r>
    <r>
      <rPr>
        <vertAlign val="subscript"/>
        <sz val="10"/>
        <rFont val="Arial Narrow"/>
        <family val="2"/>
      </rPr>
      <t>t+sh</t>
    </r>
  </si>
  <si>
    <r>
      <t>W</t>
    </r>
    <r>
      <rPr>
        <vertAlign val="subscript"/>
        <sz val="10"/>
        <rFont val="Arial Narrow"/>
        <family val="2"/>
      </rPr>
      <t>t+ss</t>
    </r>
  </si>
  <si>
    <r>
      <t>W</t>
    </r>
    <r>
      <rPr>
        <vertAlign val="subscript"/>
        <sz val="10"/>
        <rFont val="Arial Narrow"/>
        <family val="2"/>
      </rPr>
      <t>w</t>
    </r>
  </si>
  <si>
    <r>
      <t>W</t>
    </r>
    <r>
      <rPr>
        <vertAlign val="subscript"/>
        <sz val="10"/>
        <rFont val="Arial Narrow"/>
        <family val="2"/>
      </rPr>
      <t>ss</t>
    </r>
  </si>
  <si>
    <r>
      <t>L</t>
    </r>
    <r>
      <rPr>
        <vertAlign val="subscript"/>
        <sz val="10"/>
        <rFont val="Arial Narrow"/>
        <family val="2"/>
      </rPr>
      <t>inicial</t>
    </r>
  </si>
  <si>
    <r>
      <t>L</t>
    </r>
    <r>
      <rPr>
        <vertAlign val="subscript"/>
        <sz val="10"/>
        <rFont val="Arial Narrow"/>
        <family val="2"/>
      </rPr>
      <t>final</t>
    </r>
  </si>
  <si>
    <r>
      <t>L</t>
    </r>
    <r>
      <rPr>
        <vertAlign val="subscript"/>
        <sz val="10"/>
        <rFont val="Arial Narrow"/>
        <family val="2"/>
      </rPr>
      <t>C</t>
    </r>
  </si>
  <si>
    <t>Calibración de matraz 1</t>
  </si>
  <si>
    <t>Calibración de matraz 2</t>
  </si>
  <si>
    <t>Constantes de la ecuación</t>
  </si>
  <si>
    <r>
      <t>t</t>
    </r>
    <r>
      <rPr>
        <vertAlign val="superscript"/>
        <sz val="10"/>
        <color theme="1"/>
        <rFont val="Arial Narrow"/>
        <family val="2"/>
      </rPr>
      <t>2</t>
    </r>
  </si>
  <si>
    <r>
      <t>t</t>
    </r>
    <r>
      <rPr>
        <vertAlign val="superscript"/>
        <sz val="10"/>
        <color theme="1"/>
        <rFont val="Arial Narrow"/>
        <family val="2"/>
      </rPr>
      <t>1</t>
    </r>
  </si>
  <si>
    <r>
      <t>t</t>
    </r>
    <r>
      <rPr>
        <vertAlign val="superscript"/>
        <sz val="10"/>
        <color theme="1"/>
        <rFont val="Arial Narrow"/>
        <family val="2"/>
      </rPr>
      <t>0</t>
    </r>
  </si>
  <si>
    <r>
      <rPr>
        <sz val="14"/>
        <rFont val="Arial Narrow"/>
        <family val="2"/>
      </rPr>
      <t xml:space="preserve">DETERMINACIÓN DE GRAVEDAD ESPECÍFICA 
SEGÚN LA NORMA ASTM C128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</si>
  <si>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Clasificación S.U.C.S. parte fina:</t>
  </si>
  <si>
    <t>Límite de Contracción (LC) :</t>
  </si>
  <si>
    <t>Densidad relativa de sólidos:</t>
  </si>
  <si>
    <t>Según Terzaghi y Peck, el Material es de:</t>
  </si>
  <si>
    <t>y de:</t>
  </si>
  <si>
    <t>Límite de Contracción, %</t>
  </si>
  <si>
    <t>Solo mover lo rojo para ajustar gráficas</t>
  </si>
  <si>
    <t>N/A</t>
  </si>
  <si>
    <t>CAPSULA</t>
  </si>
  <si>
    <t>PESO</t>
  </si>
  <si>
    <t>Sondeo° :</t>
  </si>
  <si>
    <t xml:space="preserve">sx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</si>
  <si>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DETERMINACION DE CONTENIDO DE MATERIA ORGÁNICA, DE LA MASA DE SUELO </t>
  </si>
  <si>
    <t>Capsulas</t>
  </si>
  <si>
    <t>CAP No.</t>
  </si>
  <si>
    <t>Peso ( 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</si>
</sst>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2" formatCode="_-&quot;$&quot;* #,##0_-;\-&quot;$&quot;* #,##0_-;_-&quot;$&quot;* &quot;-&quot;_-;_-@_-"/>
    <numFmt numFmtId="164" formatCode="General_)"/>
    <numFmt numFmtId="165" formatCode="#,##0.000"/>
    <numFmt numFmtId="166" formatCode="0.000"/>
    <numFmt numFmtId="167" formatCode="[$-F800]dddd\,\ mmmm\ dd\,\ yyyy"/>
    <numFmt numFmtId="168" formatCode="0.0000"/>
    <numFmt numFmtId="169" formatCode="0.00_)"/>
    <numFmt numFmtId="170" formatCode="0_)"/>
    <numFmt numFmtId="171" formatCode="&quot;N$&quot;#,##0;[Red]&quot;N$&quot;\-#,##0"/>
    <numFmt numFmtId="172" formatCode="d\-mmm\-yy"/>
    <numFmt numFmtId="173" formatCode="0.000_)"/>
    <numFmt numFmtId="174" formatCode="0.00_ ;[Red]\-0.00\ "/>
    <numFmt numFmtId="175" formatCode="0.000%"/>
    <numFmt numFmtId="176" formatCode="0.0"/>
  </numFmts>
  <fonts count="54">
    <font>
      <sz val="10"/>
      <name val="TimesNewRomanP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0"/>
      <color rgb="FF003300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color theme="1" tint="0.499984740745262"/>
      <name val="Arial Narrow"/>
      <family val="2"/>
    </font>
    <font>
      <b/>
      <sz val="8"/>
      <color rgb="FF002060"/>
      <name val="Arial Narrow"/>
      <family val="2"/>
    </font>
    <font>
      <b/>
      <sz val="10"/>
      <color rgb="FF002060"/>
      <name val="Arial Narrow"/>
      <family val="2"/>
    </font>
    <font>
      <b/>
      <sz val="10"/>
      <name val="Arial Narrow"/>
      <family val="2"/>
    </font>
    <font>
      <sz val="12"/>
      <color rgb="FF003300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4"/>
      <color theme="1"/>
      <name val="Arial Narrow"/>
      <family val="2"/>
    </font>
    <font>
      <i/>
      <sz val="10"/>
      <color theme="1"/>
      <name val="Arial Narrow"/>
      <family val="2"/>
    </font>
    <font>
      <sz val="10"/>
      <name val="Courier"/>
      <family val="3"/>
    </font>
    <font>
      <vertAlign val="subscript"/>
      <sz val="10"/>
      <name val="Arial Narrow"/>
      <family val="2"/>
    </font>
    <font>
      <vertAlign val="superscript"/>
      <sz val="10"/>
      <name val="Arial Narrow"/>
      <family val="2"/>
    </font>
    <font>
      <sz val="10"/>
      <color theme="1" tint="0.249977111117893"/>
      <name val="Arial Narrow"/>
      <family val="2"/>
    </font>
    <font>
      <sz val="10"/>
      <color theme="2" tint="-0.89999084444715716"/>
      <name val="Arial Narrow"/>
      <family val="2"/>
    </font>
    <font>
      <sz val="10"/>
      <color theme="2" tint="-0.499984740745262"/>
      <name val="Arial Narrow"/>
      <family val="2"/>
    </font>
    <font>
      <sz val="10"/>
      <color theme="3" tint="-0.499984740745262"/>
      <name val="Arial Narrow"/>
      <family val="2"/>
    </font>
    <font>
      <sz val="10"/>
      <color theme="3" tint="0.39997558519241921"/>
      <name val="Arial Narrow"/>
      <family val="2"/>
    </font>
    <font>
      <sz val="10"/>
      <color theme="4" tint="-0.499984740745262"/>
      <name val="Arial Narrow"/>
      <family val="2"/>
    </font>
    <font>
      <sz val="10"/>
      <color theme="4" tint="-0.249977111117893"/>
      <name val="Arial Narrow"/>
      <family val="2"/>
    </font>
    <font>
      <sz val="10"/>
      <color theme="5" tint="-0.499984740745262"/>
      <name val="Arial Narrow"/>
      <family val="2"/>
    </font>
    <font>
      <sz val="10"/>
      <color theme="5" tint="-0.249977111117893"/>
      <name val="Arial Narrow"/>
      <family val="2"/>
    </font>
    <font>
      <sz val="10"/>
      <color theme="6" tint="-0.499984740745262"/>
      <name val="Arial Narrow"/>
      <family val="2"/>
    </font>
    <font>
      <sz val="10"/>
      <color theme="6" tint="-0.249977111117893"/>
      <name val="Arial Narrow"/>
      <family val="2"/>
    </font>
    <font>
      <sz val="10"/>
      <color theme="7" tint="-0.499984740745262"/>
      <name val="Arial Narrow"/>
      <family val="2"/>
    </font>
    <font>
      <sz val="10"/>
      <color theme="7" tint="-0.249977111117893"/>
      <name val="Arial Narrow"/>
      <family val="2"/>
    </font>
    <font>
      <sz val="10"/>
      <color theme="9" tint="-0.499984740745262"/>
      <name val="Arial Narrow"/>
      <family val="2"/>
    </font>
    <font>
      <sz val="18"/>
      <name val="Arial Narrow"/>
      <family val="2"/>
    </font>
    <font>
      <sz val="10"/>
      <color rgb="FFFF0000"/>
      <name val="Arial"/>
      <family val="2"/>
    </font>
    <font>
      <sz val="10"/>
      <name val="TimesNewRomanPS"/>
    </font>
    <font>
      <b/>
      <sz val="9"/>
      <color rgb="FF002060"/>
      <name val="Arial Narrow"/>
      <family val="2"/>
    </font>
    <font>
      <sz val="8"/>
      <color rgb="FF003300"/>
      <name val="Arial Narrow"/>
      <family val="2"/>
    </font>
    <font>
      <sz val="8"/>
      <color rgb="FF0000FF"/>
      <name val="Arial Narrow"/>
      <family val="2"/>
    </font>
    <font>
      <sz val="10"/>
      <name val="Arial"/>
      <family val="2"/>
    </font>
    <font>
      <sz val="10"/>
      <color indexed="9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  <font>
      <sz val="10"/>
      <color indexed="16"/>
      <name val="Arial Narrow"/>
      <family val="2"/>
    </font>
    <font>
      <vertAlign val="subscript"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b/>
      <sz val="16"/>
      <color rgb="FF0000FF"/>
      <name val="Arial Narrow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auto="1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164" fontId="0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169" fontId="20" fillId="0" borderId="0"/>
    <xf numFmtId="0" fontId="3" fillId="0" borderId="0"/>
    <xf numFmtId="42" fontId="3" fillId="0" borderId="0" applyFont="0" applyFill="0" applyBorder="0" applyAlignment="0" applyProtection="0"/>
    <xf numFmtId="0" fontId="3" fillId="0" borderId="0"/>
    <xf numFmtId="9" fontId="39" fillId="0" borderId="0" applyFont="0" applyFill="0" applyBorder="0" applyAlignment="0" applyProtection="0"/>
    <xf numFmtId="0" fontId="2" fillId="0" borderId="0"/>
    <xf numFmtId="0" fontId="4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618">
    <xf numFmtId="164" fontId="0" fillId="0" borderId="0" xfId="0"/>
    <xf numFmtId="164" fontId="4" fillId="2" borderId="0" xfId="0" applyFont="1" applyFill="1" applyAlignment="1" applyProtection="1">
      <alignment vertical="center"/>
      <protection hidden="1"/>
    </xf>
    <xf numFmtId="0" fontId="4" fillId="2" borderId="0" xfId="0" applyNumberFormat="1" applyFont="1" applyFill="1" applyAlignment="1" applyProtection="1">
      <alignment horizontal="right" vertical="center"/>
      <protection hidden="1"/>
    </xf>
    <xf numFmtId="164" fontId="4" fillId="2" borderId="5" xfId="0" applyFont="1" applyFill="1" applyBorder="1" applyAlignment="1" applyProtection="1">
      <alignment vertical="center"/>
      <protection hidden="1"/>
    </xf>
    <xf numFmtId="164" fontId="4" fillId="2" borderId="7" xfId="0" applyFont="1" applyFill="1" applyBorder="1" applyAlignment="1" applyProtection="1">
      <alignment vertical="center"/>
      <protection hidden="1"/>
    </xf>
    <xf numFmtId="164" fontId="4" fillId="2" borderId="19" xfId="0" applyFont="1" applyFill="1" applyBorder="1" applyAlignment="1" applyProtection="1">
      <alignment vertical="center"/>
      <protection hidden="1"/>
    </xf>
    <xf numFmtId="0" fontId="4" fillId="2" borderId="5" xfId="0" applyNumberFormat="1" applyFont="1" applyFill="1" applyBorder="1" applyAlignment="1" applyProtection="1">
      <alignment horizontal="right" vertical="center"/>
      <protection hidden="1"/>
    </xf>
    <xf numFmtId="4" fontId="4" fillId="2" borderId="3" xfId="0" applyNumberFormat="1" applyFont="1" applyFill="1" applyBorder="1" applyAlignment="1" applyProtection="1">
      <alignment horizontal="right" vertical="center"/>
      <protection hidden="1"/>
    </xf>
    <xf numFmtId="0" fontId="17" fillId="0" borderId="0" xfId="3" applyAlignment="1">
      <alignment vertical="center"/>
    </xf>
    <xf numFmtId="0" fontId="15" fillId="2" borderId="6" xfId="3" applyFont="1" applyFill="1" applyBorder="1" applyAlignment="1" applyProtection="1">
      <alignment vertical="center"/>
      <protection hidden="1"/>
    </xf>
    <xf numFmtId="0" fontId="15" fillId="2" borderId="5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horizontal="right" vertical="center"/>
      <protection hidden="1"/>
    </xf>
    <xf numFmtId="0" fontId="15" fillId="2" borderId="7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/>
      <protection hidden="1"/>
    </xf>
    <xf numFmtId="0" fontId="15" fillId="2" borderId="6" xfId="3" applyFont="1" applyFill="1" applyBorder="1" applyAlignment="1" applyProtection="1">
      <alignment vertical="center" wrapText="1"/>
      <protection hidden="1"/>
    </xf>
    <xf numFmtId="0" fontId="15" fillId="2" borderId="5" xfId="3" applyFont="1" applyFill="1" applyBorder="1" applyAlignment="1" applyProtection="1">
      <alignment vertical="center" wrapText="1"/>
      <protection hidden="1"/>
    </xf>
    <xf numFmtId="0" fontId="15" fillId="2" borderId="7" xfId="3" applyFont="1" applyFill="1" applyBorder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 wrapText="1"/>
      <protection hidden="1"/>
    </xf>
    <xf numFmtId="0" fontId="15" fillId="2" borderId="0" xfId="3" applyFont="1" applyFill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 wrapText="1"/>
      <protection hidden="1"/>
    </xf>
    <xf numFmtId="0" fontId="15" fillId="2" borderId="8" xfId="3" applyFont="1" applyFill="1" applyBorder="1" applyAlignment="1" applyProtection="1">
      <alignment vertical="center" wrapText="1"/>
      <protection hidden="1"/>
    </xf>
    <xf numFmtId="0" fontId="15" fillId="2" borderId="3" xfId="3" applyFont="1" applyFill="1" applyBorder="1" applyAlignment="1" applyProtection="1">
      <alignment vertical="center" wrapText="1"/>
      <protection hidden="1"/>
    </xf>
    <xf numFmtId="0" fontId="15" fillId="2" borderId="4" xfId="3" applyFont="1" applyFill="1" applyBorder="1" applyAlignment="1" applyProtection="1">
      <alignment vertical="center" wrapText="1"/>
      <protection hidden="1"/>
    </xf>
    <xf numFmtId="0" fontId="19" fillId="2" borderId="0" xfId="3" applyFont="1" applyFill="1" applyAlignment="1" applyProtection="1">
      <alignment horizontal="center" vertical="center" wrapText="1"/>
      <protection hidden="1"/>
    </xf>
    <xf numFmtId="169" fontId="4" fillId="2" borderId="5" xfId="4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15" fillId="2" borderId="8" xfId="3" applyFont="1" applyFill="1" applyBorder="1" applyAlignment="1" applyProtection="1">
      <alignment vertical="center"/>
      <protection hidden="1"/>
    </xf>
    <xf numFmtId="2" fontId="15" fillId="2" borderId="3" xfId="4" applyNumberFormat="1" applyFont="1" applyFill="1" applyBorder="1" applyAlignment="1" applyProtection="1">
      <alignment horizontal="right" vertical="center"/>
      <protection hidden="1"/>
    </xf>
    <xf numFmtId="0" fontId="15" fillId="2" borderId="4" xfId="3" applyFont="1" applyFill="1" applyBorder="1" applyAlignment="1" applyProtection="1">
      <alignment vertical="center"/>
      <protection hidden="1"/>
    </xf>
    <xf numFmtId="0" fontId="15" fillId="2" borderId="0" xfId="5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vertical="center"/>
      <protection hidden="1"/>
    </xf>
    <xf numFmtId="169" fontId="15" fillId="2" borderId="0" xfId="4" applyFont="1" applyFill="1" applyAlignment="1" applyProtection="1">
      <alignment horizontal="right" vertical="center"/>
      <protection hidden="1"/>
    </xf>
    <xf numFmtId="2" fontId="15" fillId="2" borderId="0" xfId="4" applyNumberFormat="1" applyFont="1" applyFill="1" applyAlignment="1" applyProtection="1">
      <alignment horizontal="right" vertical="center"/>
      <protection hidden="1"/>
    </xf>
    <xf numFmtId="14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vertical="center"/>
      <protection hidden="1"/>
    </xf>
    <xf numFmtId="14" fontId="4" fillId="2" borderId="5" xfId="4" applyNumberFormat="1" applyFont="1" applyFill="1" applyBorder="1" applyAlignment="1" applyProtection="1">
      <alignment horizontal="right" vertical="center"/>
      <protection hidden="1"/>
    </xf>
    <xf numFmtId="0" fontId="4" fillId="2" borderId="5" xfId="1" quotePrefix="1" applyFont="1" applyFill="1" applyBorder="1" applyAlignment="1" applyProtection="1">
      <alignment horizontal="right" vertical="center"/>
      <protection hidden="1"/>
    </xf>
    <xf numFmtId="0" fontId="15" fillId="2" borderId="7" xfId="1" applyFont="1" applyFill="1" applyBorder="1" applyAlignment="1" applyProtection="1">
      <alignment vertical="center"/>
      <protection hidden="1"/>
    </xf>
    <xf numFmtId="171" fontId="4" fillId="2" borderId="0" xfId="6" applyNumberFormat="1" applyFont="1" applyFill="1" applyBorder="1" applyAlignment="1" applyProtection="1">
      <alignment horizontal="right" vertical="center"/>
      <protection hidden="1"/>
    </xf>
    <xf numFmtId="0" fontId="4" fillId="2" borderId="0" xfId="1" quotePrefix="1" applyFont="1" applyFill="1" applyAlignment="1" applyProtection="1">
      <alignment horizontal="right" vertical="center"/>
      <protection hidden="1"/>
    </xf>
    <xf numFmtId="0" fontId="15" fillId="2" borderId="19" xfId="1" applyFont="1" applyFill="1" applyBorder="1" applyAlignment="1" applyProtection="1">
      <alignment horizontal="left" vertical="center"/>
      <protection hidden="1"/>
    </xf>
    <xf numFmtId="170" fontId="4" fillId="2" borderId="35" xfId="4" quotePrefix="1" applyNumberFormat="1" applyFont="1" applyFill="1" applyBorder="1" applyAlignment="1" applyProtection="1">
      <alignment horizontal="right" vertical="center"/>
      <protection hidden="1"/>
    </xf>
    <xf numFmtId="0" fontId="15" fillId="2" borderId="3" xfId="3" applyFont="1" applyFill="1" applyBorder="1" applyAlignment="1" applyProtection="1">
      <alignment vertical="center"/>
      <protection hidden="1"/>
    </xf>
    <xf numFmtId="0" fontId="4" fillId="2" borderId="3" xfId="5" applyFont="1" applyFill="1" applyBorder="1" applyAlignment="1" applyProtection="1">
      <alignment horizontal="right" vertical="center"/>
      <protection hidden="1"/>
    </xf>
    <xf numFmtId="170" fontId="15" fillId="2" borderId="0" xfId="4" applyNumberFormat="1" applyFont="1" applyFill="1" applyAlignment="1" applyProtection="1">
      <alignment horizontal="right" vertical="center"/>
      <protection hidden="1"/>
    </xf>
    <xf numFmtId="2" fontId="15" fillId="2" borderId="0" xfId="1" applyNumberFormat="1" applyFont="1" applyFill="1" applyAlignment="1" applyProtection="1">
      <alignment horizontal="center" vertical="center"/>
      <protection hidden="1"/>
    </xf>
    <xf numFmtId="172" fontId="15" fillId="2" borderId="0" xfId="1" applyNumberFormat="1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horizontal="left" vertical="center"/>
      <protection hidden="1"/>
    </xf>
    <xf numFmtId="169" fontId="4" fillId="2" borderId="22" xfId="4" quotePrefix="1" applyFont="1" applyFill="1" applyBorder="1" applyAlignment="1" applyProtection="1">
      <alignment horizontal="center" vertical="center"/>
      <protection hidden="1"/>
    </xf>
    <xf numFmtId="169" fontId="4" fillId="2" borderId="33" xfId="4" quotePrefix="1" applyFont="1" applyFill="1" applyBorder="1" applyAlignment="1" applyProtection="1">
      <alignment horizontal="center" vertical="center"/>
      <protection hidden="1"/>
    </xf>
    <xf numFmtId="169" fontId="4" fillId="2" borderId="1" xfId="4" quotePrefix="1" applyFont="1" applyFill="1" applyBorder="1" applyAlignment="1" applyProtection="1">
      <alignment horizontal="center" vertical="center"/>
      <protection hidden="1"/>
    </xf>
    <xf numFmtId="169" fontId="4" fillId="2" borderId="27" xfId="4" quotePrefix="1" applyFont="1" applyFill="1" applyBorder="1" applyAlignment="1" applyProtection="1">
      <alignment horizontal="center" vertical="center"/>
      <protection hidden="1"/>
    </xf>
    <xf numFmtId="0" fontId="4" fillId="2" borderId="33" xfId="1" applyFont="1" applyFill="1" applyBorder="1" applyAlignment="1" applyProtection="1">
      <alignment horizontal="center" vertical="center"/>
      <protection hidden="1"/>
    </xf>
    <xf numFmtId="169" fontId="4" fillId="2" borderId="1" xfId="4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4" fillId="2" borderId="27" xfId="1" applyFont="1" applyFill="1" applyBorder="1" applyAlignment="1" applyProtection="1">
      <alignment horizontal="center" vertical="center"/>
      <protection hidden="1"/>
    </xf>
    <xf numFmtId="1" fontId="12" fillId="2" borderId="33" xfId="1" applyNumberFormat="1" applyFont="1" applyFill="1" applyBorder="1" applyAlignment="1" applyProtection="1">
      <alignment horizontal="center" vertical="center"/>
      <protection hidden="1"/>
    </xf>
    <xf numFmtId="173" fontId="12" fillId="2" borderId="1" xfId="4" applyNumberFormat="1" applyFont="1" applyFill="1" applyBorder="1" applyAlignment="1" applyProtection="1">
      <alignment horizontal="center" vertical="center"/>
      <protection hidden="1"/>
    </xf>
    <xf numFmtId="165" fontId="15" fillId="2" borderId="1" xfId="3" applyNumberFormat="1" applyFont="1" applyFill="1" applyBorder="1" applyAlignment="1" applyProtection="1">
      <alignment horizontal="center" vertical="center"/>
      <protection locked="0"/>
    </xf>
    <xf numFmtId="166" fontId="6" fillId="2" borderId="1" xfId="1" applyNumberFormat="1" applyFont="1" applyFill="1" applyBorder="1" applyAlignment="1" applyProtection="1">
      <alignment horizontal="center" vertical="center"/>
      <protection hidden="1"/>
    </xf>
    <xf numFmtId="166" fontId="6" fillId="2" borderId="27" xfId="1" applyNumberFormat="1" applyFont="1" applyFill="1" applyBorder="1" applyAlignment="1" applyProtection="1">
      <alignment horizontal="center" vertical="center"/>
      <protection hidden="1"/>
    </xf>
    <xf numFmtId="1" fontId="12" fillId="2" borderId="33" xfId="1" quotePrefix="1" applyNumberFormat="1" applyFont="1" applyFill="1" applyBorder="1" applyAlignment="1" applyProtection="1">
      <alignment horizontal="center" vertical="center"/>
      <protection hidden="1"/>
    </xf>
    <xf numFmtId="166" fontId="4" fillId="2" borderId="1" xfId="3" applyNumberFormat="1" applyFont="1" applyFill="1" applyBorder="1" applyAlignment="1" applyProtection="1">
      <alignment horizontal="center" vertical="center"/>
      <protection locked="0"/>
    </xf>
    <xf numFmtId="165" fontId="15" fillId="2" borderId="1" xfId="1" applyNumberFormat="1" applyFont="1" applyFill="1" applyBorder="1" applyAlignment="1" applyProtection="1">
      <alignment horizontal="center" vertical="center"/>
      <protection locked="0"/>
    </xf>
    <xf numFmtId="1" fontId="12" fillId="2" borderId="34" xfId="1" quotePrefix="1" applyNumberFormat="1" applyFont="1" applyFill="1" applyBorder="1" applyAlignment="1" applyProtection="1">
      <alignment horizontal="center" vertical="center"/>
      <protection hidden="1"/>
    </xf>
    <xf numFmtId="173" fontId="12" fillId="2" borderId="28" xfId="4" applyNumberFormat="1" applyFont="1" applyFill="1" applyBorder="1" applyAlignment="1" applyProtection="1">
      <alignment horizontal="center" vertical="center"/>
      <protection hidden="1"/>
    </xf>
    <xf numFmtId="166" fontId="4" fillId="2" borderId="28" xfId="3" applyNumberFormat="1" applyFont="1" applyFill="1" applyBorder="1" applyAlignment="1" applyProtection="1">
      <alignment horizontal="center" vertical="center"/>
      <protection locked="0"/>
    </xf>
    <xf numFmtId="166" fontId="6" fillId="2" borderId="28" xfId="1" applyNumberFormat="1" applyFont="1" applyFill="1" applyBorder="1" applyAlignment="1" applyProtection="1">
      <alignment horizontal="center" vertical="center"/>
      <protection hidden="1"/>
    </xf>
    <xf numFmtId="166" fontId="6" fillId="2" borderId="29" xfId="1" applyNumberFormat="1" applyFont="1" applyFill="1" applyBorder="1" applyAlignment="1" applyProtection="1">
      <alignment horizontal="center" vertical="center"/>
      <protection hidden="1"/>
    </xf>
    <xf numFmtId="1" fontId="12" fillId="2" borderId="34" xfId="1" applyNumberFormat="1" applyFont="1" applyFill="1" applyBorder="1" applyAlignment="1" applyProtection="1">
      <alignment horizontal="center" vertical="center"/>
      <protection hidden="1"/>
    </xf>
    <xf numFmtId="165" fontId="15" fillId="2" borderId="28" xfId="3" applyNumberFormat="1" applyFont="1" applyFill="1" applyBorder="1" applyAlignment="1" applyProtection="1">
      <alignment horizontal="center" vertical="center"/>
      <protection locked="0"/>
    </xf>
    <xf numFmtId="1" fontId="15" fillId="2" borderId="0" xfId="1" applyNumberFormat="1" applyFont="1" applyFill="1" applyAlignment="1" applyProtection="1">
      <alignment horizontal="center" vertical="center"/>
      <protection hidden="1"/>
    </xf>
    <xf numFmtId="173" fontId="15" fillId="2" borderId="0" xfId="4" applyNumberFormat="1" applyFont="1" applyFill="1" applyAlignment="1" applyProtection="1">
      <alignment horizontal="center" vertical="center"/>
      <protection hidden="1"/>
    </xf>
    <xf numFmtId="1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horizontal="right" vertical="center"/>
      <protection hidden="1"/>
    </xf>
    <xf numFmtId="2" fontId="15" fillId="2" borderId="0" xfId="3" applyNumberFormat="1" applyFont="1" applyFill="1" applyAlignment="1" applyProtection="1">
      <alignment horizontal="center" vertical="center"/>
      <protection hidden="1"/>
    </xf>
    <xf numFmtId="0" fontId="4" fillId="2" borderId="5" xfId="1" applyFont="1" applyFill="1" applyBorder="1" applyAlignment="1" applyProtection="1">
      <alignment horizontal="right" vertical="center"/>
      <protection hidden="1"/>
    </xf>
    <xf numFmtId="0" fontId="15" fillId="2" borderId="5" xfId="1" quotePrefix="1" applyFont="1" applyFill="1" applyBorder="1" applyAlignment="1" applyProtection="1">
      <alignment horizontal="right" vertical="center"/>
      <protection hidden="1"/>
    </xf>
    <xf numFmtId="166" fontId="6" fillId="2" borderId="21" xfId="2" applyNumberFormat="1" applyFont="1" applyFill="1" applyBorder="1" applyAlignment="1" applyProtection="1">
      <alignment horizontal="center" vertical="center"/>
      <protection hidden="1"/>
    </xf>
    <xf numFmtId="2" fontId="4" fillId="2" borderId="0" xfId="1" quotePrefix="1" applyNumberFormat="1" applyFont="1" applyFill="1" applyAlignment="1" applyProtection="1">
      <alignment horizontal="right" vertical="center"/>
      <protection hidden="1"/>
    </xf>
    <xf numFmtId="166" fontId="6" fillId="2" borderId="22" xfId="2" applyNumberFormat="1" applyFont="1" applyFill="1" applyBorder="1" applyAlignment="1" applyProtection="1">
      <alignment horizontal="center" vertical="center"/>
      <protection hidden="1"/>
    </xf>
    <xf numFmtId="166" fontId="6" fillId="2" borderId="22" xfId="1" applyNumberFormat="1" applyFont="1" applyFill="1" applyBorder="1" applyAlignment="1" applyProtection="1">
      <alignment horizontal="center" vertical="center"/>
      <protection hidden="1"/>
    </xf>
    <xf numFmtId="0" fontId="4" fillId="2" borderId="0" xfId="3" quotePrefix="1" applyFont="1" applyFill="1" applyAlignment="1" applyProtection="1">
      <alignment horizontal="right" vertical="center"/>
      <protection hidden="1"/>
    </xf>
    <xf numFmtId="168" fontId="6" fillId="2" borderId="15" xfId="1" applyNumberFormat="1" applyFont="1" applyFill="1" applyBorder="1" applyAlignment="1" applyProtection="1">
      <alignment horizontal="center" vertical="center"/>
      <protection hidden="1"/>
    </xf>
    <xf numFmtId="0" fontId="4" fillId="2" borderId="3" xfId="3" quotePrefix="1" applyFont="1" applyFill="1" applyBorder="1" applyAlignment="1" applyProtection="1">
      <alignment horizontal="right" vertical="center"/>
      <protection hidden="1"/>
    </xf>
    <xf numFmtId="0" fontId="4" fillId="2" borderId="3" xfId="3" quotePrefix="1" applyFont="1" applyFill="1" applyBorder="1" applyAlignment="1" applyProtection="1">
      <alignment horizontal="center" vertical="center"/>
      <protection hidden="1"/>
    </xf>
    <xf numFmtId="0" fontId="4" fillId="2" borderId="3" xfId="1" quotePrefix="1" applyFont="1" applyFill="1" applyBorder="1" applyAlignment="1" applyProtection="1">
      <alignment horizontal="right" vertical="center"/>
      <protection hidden="1"/>
    </xf>
    <xf numFmtId="168" fontId="6" fillId="2" borderId="3" xfId="1" applyNumberFormat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vertical="center"/>
      <protection hidden="1"/>
    </xf>
    <xf numFmtId="0" fontId="15" fillId="2" borderId="0" xfId="1" applyFont="1" applyFill="1" applyAlignment="1" applyProtection="1">
      <alignment horizontal="left" vertical="center"/>
      <protection hidden="1"/>
    </xf>
    <xf numFmtId="0" fontId="15" fillId="2" borderId="6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horizontal="left" vertical="center"/>
      <protection hidden="1"/>
    </xf>
    <xf numFmtId="0" fontId="15" fillId="2" borderId="18" xfId="1" applyFont="1" applyFill="1" applyBorder="1" applyAlignment="1" applyProtection="1">
      <alignment vertical="center"/>
      <protection hidden="1"/>
    </xf>
    <xf numFmtId="166" fontId="23" fillId="2" borderId="1" xfId="1" applyNumberFormat="1" applyFont="1" applyFill="1" applyBorder="1" applyAlignment="1" applyProtection="1">
      <alignment horizontal="center" vertical="center"/>
      <protection hidden="1"/>
    </xf>
    <xf numFmtId="0" fontId="23" fillId="2" borderId="1" xfId="1" applyFont="1" applyFill="1" applyBorder="1" applyAlignment="1" applyProtection="1">
      <alignment horizontal="center" vertical="center"/>
      <protection hidden="1"/>
    </xf>
    <xf numFmtId="166" fontId="24" fillId="2" borderId="1" xfId="1" applyNumberFormat="1" applyFont="1" applyFill="1" applyBorder="1" applyAlignment="1" applyProtection="1">
      <alignment horizontal="center"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24" fillId="2" borderId="1" xfId="1" applyFont="1" applyFill="1" applyBorder="1" applyAlignment="1" applyProtection="1">
      <alignment horizontal="center" vertical="center"/>
      <protection hidden="1"/>
    </xf>
    <xf numFmtId="0" fontId="15" fillId="2" borderId="19" xfId="1" applyFont="1" applyFill="1" applyBorder="1" applyAlignment="1" applyProtection="1">
      <alignment vertical="center"/>
      <protection hidden="1"/>
    </xf>
    <xf numFmtId="166" fontId="23" fillId="2" borderId="1" xfId="3" applyNumberFormat="1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166" fontId="24" fillId="2" borderId="1" xfId="3" applyNumberFormat="1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66" fontId="25" fillId="2" borderId="1" xfId="1" applyNumberFormat="1" applyFont="1" applyFill="1" applyBorder="1" applyAlignment="1" applyProtection="1">
      <alignment horizontal="center" vertical="center"/>
      <protection hidden="1"/>
    </xf>
    <xf numFmtId="0" fontId="25" fillId="2" borderId="1" xfId="1" applyFont="1" applyFill="1" applyBorder="1" applyAlignment="1" applyProtection="1">
      <alignment horizontal="center" vertical="center"/>
      <protection hidden="1"/>
    </xf>
    <xf numFmtId="166" fontId="26" fillId="2" borderId="1" xfId="1" applyNumberFormat="1" applyFont="1" applyFill="1" applyBorder="1" applyAlignment="1" applyProtection="1">
      <alignment horizontal="center" vertical="center"/>
      <protection hidden="1"/>
    </xf>
    <xf numFmtId="0" fontId="26" fillId="2" borderId="1" xfId="3" applyFont="1" applyFill="1" applyBorder="1" applyAlignment="1">
      <alignment horizontal="center" vertical="center"/>
    </xf>
    <xf numFmtId="166" fontId="25" fillId="2" borderId="1" xfId="3" applyNumberFormat="1" applyFont="1" applyFill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166" fontId="26" fillId="2" borderId="1" xfId="3" applyNumberFormat="1" applyFont="1" applyFill="1" applyBorder="1" applyAlignment="1">
      <alignment horizontal="center" vertical="center"/>
    </xf>
    <xf numFmtId="166" fontId="27" fillId="2" borderId="1" xfId="1" applyNumberFormat="1" applyFont="1" applyFill="1" applyBorder="1" applyAlignment="1" applyProtection="1">
      <alignment horizontal="center" vertical="center"/>
      <protection hidden="1"/>
    </xf>
    <xf numFmtId="0" fontId="27" fillId="2" borderId="1" xfId="1" applyFont="1" applyFill="1" applyBorder="1" applyAlignment="1" applyProtection="1">
      <alignment horizontal="center" vertical="center"/>
      <protection hidden="1"/>
    </xf>
    <xf numFmtId="166" fontId="28" fillId="2" borderId="1" xfId="1" applyNumberFormat="1" applyFont="1" applyFill="1" applyBorder="1" applyAlignment="1" applyProtection="1">
      <alignment horizontal="center" vertical="center"/>
      <protection hidden="1"/>
    </xf>
    <xf numFmtId="0" fontId="28" fillId="2" borderId="1" xfId="3" applyFont="1" applyFill="1" applyBorder="1" applyAlignment="1">
      <alignment horizontal="center" vertical="center"/>
    </xf>
    <xf numFmtId="166" fontId="27" fillId="2" borderId="1" xfId="3" applyNumberFormat="1" applyFont="1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166" fontId="28" fillId="2" borderId="1" xfId="3" applyNumberFormat="1" applyFont="1" applyFill="1" applyBorder="1" applyAlignment="1">
      <alignment horizontal="center" vertical="center"/>
    </xf>
    <xf numFmtId="166" fontId="29" fillId="2" borderId="1" xfId="1" applyNumberFormat="1" applyFont="1" applyFill="1" applyBorder="1" applyAlignment="1" applyProtection="1">
      <alignment horizontal="center" vertical="center"/>
      <protection hidden="1"/>
    </xf>
    <xf numFmtId="0" fontId="29" fillId="2" borderId="1" xfId="1" applyFont="1" applyFill="1" applyBorder="1" applyAlignment="1" applyProtection="1">
      <alignment horizontal="center" vertical="center"/>
      <protection hidden="1"/>
    </xf>
    <xf numFmtId="166" fontId="30" fillId="2" borderId="1" xfId="1" applyNumberFormat="1" applyFont="1" applyFill="1" applyBorder="1" applyAlignment="1" applyProtection="1">
      <alignment horizontal="center" vertical="center"/>
      <protection hidden="1"/>
    </xf>
    <xf numFmtId="0" fontId="30" fillId="2" borderId="1" xfId="3" applyFont="1" applyFill="1" applyBorder="1" applyAlignment="1">
      <alignment horizontal="center" vertical="center"/>
    </xf>
    <xf numFmtId="166" fontId="29" fillId="2" borderId="1" xfId="3" applyNumberFormat="1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/>
    </xf>
    <xf numFmtId="166" fontId="30" fillId="2" borderId="1" xfId="3" applyNumberFormat="1" applyFont="1" applyFill="1" applyBorder="1" applyAlignment="1">
      <alignment horizontal="center" vertical="center"/>
    </xf>
    <xf numFmtId="166" fontId="31" fillId="2" borderId="1" xfId="1" applyNumberFormat="1" applyFont="1" applyFill="1" applyBorder="1" applyAlignment="1" applyProtection="1">
      <alignment horizontal="center" vertical="center"/>
      <protection hidden="1"/>
    </xf>
    <xf numFmtId="0" fontId="31" fillId="2" borderId="1" xfId="1" applyFont="1" applyFill="1" applyBorder="1" applyAlignment="1" applyProtection="1">
      <alignment horizontal="center" vertical="center"/>
      <protection hidden="1"/>
    </xf>
    <xf numFmtId="166" fontId="32" fillId="2" borderId="1" xfId="1" applyNumberFormat="1" applyFont="1" applyFill="1" applyBorder="1" applyAlignment="1" applyProtection="1">
      <alignment horizontal="center" vertical="center"/>
      <protection hidden="1"/>
    </xf>
    <xf numFmtId="0" fontId="32" fillId="2" borderId="1" xfId="3" applyFont="1" applyFill="1" applyBorder="1" applyAlignment="1">
      <alignment horizontal="center" vertical="center"/>
    </xf>
    <xf numFmtId="166" fontId="31" fillId="2" borderId="1" xfId="3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166" fontId="32" fillId="2" borderId="1" xfId="3" applyNumberFormat="1" applyFont="1" applyFill="1" applyBorder="1" applyAlignment="1">
      <alignment horizontal="center" vertical="center"/>
    </xf>
    <xf numFmtId="166" fontId="33" fillId="2" borderId="1" xfId="1" applyNumberFormat="1" applyFont="1" applyFill="1" applyBorder="1" applyAlignment="1" applyProtection="1">
      <alignment horizontal="center" vertical="center"/>
      <protection hidden="1"/>
    </xf>
    <xf numFmtId="0" fontId="33" fillId="2" borderId="1" xfId="1" applyFont="1" applyFill="1" applyBorder="1" applyAlignment="1" applyProtection="1">
      <alignment horizontal="center" vertical="center"/>
      <protection hidden="1"/>
    </xf>
    <xf numFmtId="166" fontId="34" fillId="2" borderId="1" xfId="1" applyNumberFormat="1" applyFont="1" applyFill="1" applyBorder="1" applyAlignment="1" applyProtection="1">
      <alignment horizontal="center" vertical="center"/>
      <protection hidden="1"/>
    </xf>
    <xf numFmtId="0" fontId="34" fillId="2" borderId="1" xfId="3" applyFont="1" applyFill="1" applyBorder="1" applyAlignment="1">
      <alignment horizontal="center" vertical="center"/>
    </xf>
    <xf numFmtId="166" fontId="33" fillId="2" borderId="1" xfId="3" applyNumberFormat="1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/>
    </xf>
    <xf numFmtId="166" fontId="34" fillId="2" borderId="1" xfId="3" applyNumberFormat="1" applyFont="1" applyFill="1" applyBorder="1" applyAlignment="1">
      <alignment horizontal="center" vertical="center"/>
    </xf>
    <xf numFmtId="166" fontId="35" fillId="2" borderId="1" xfId="1" applyNumberFormat="1" applyFont="1" applyFill="1" applyBorder="1" applyAlignment="1" applyProtection="1">
      <alignment horizontal="center" vertical="center"/>
      <protection hidden="1"/>
    </xf>
    <xf numFmtId="0" fontId="35" fillId="2" borderId="1" xfId="1" applyFont="1" applyFill="1" applyBorder="1" applyAlignment="1" applyProtection="1">
      <alignment horizontal="center" vertical="center"/>
      <protection hidden="1"/>
    </xf>
    <xf numFmtId="166" fontId="36" fillId="2" borderId="1" xfId="1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horizontal="center" vertical="center"/>
    </xf>
    <xf numFmtId="166" fontId="35" fillId="2" borderId="1" xfId="3" applyNumberFormat="1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 vertical="center"/>
    </xf>
    <xf numFmtId="166" fontId="36" fillId="2" borderId="1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 applyProtection="1">
      <alignment horizontal="center" vertical="center"/>
      <protection hidden="1"/>
    </xf>
    <xf numFmtId="166" fontId="4" fillId="2" borderId="1" xfId="3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5" fillId="2" borderId="8" xfId="1" applyFont="1" applyFill="1" applyBorder="1" applyAlignment="1" applyProtection="1">
      <alignment vertical="center"/>
      <protection hidden="1"/>
    </xf>
    <xf numFmtId="0" fontId="15" fillId="2" borderId="3" xfId="1" applyFont="1" applyFill="1" applyBorder="1" applyAlignment="1" applyProtection="1">
      <alignment vertical="center"/>
      <protection hidden="1"/>
    </xf>
    <xf numFmtId="0" fontId="15" fillId="2" borderId="4" xfId="1" applyFont="1" applyFill="1" applyBorder="1" applyAlignment="1" applyProtection="1">
      <alignment vertical="center"/>
      <protection hidden="1"/>
    </xf>
    <xf numFmtId="0" fontId="17" fillId="0" borderId="0" xfId="3"/>
    <xf numFmtId="0" fontId="4" fillId="2" borderId="6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vertical="center"/>
      <protection hidden="1"/>
    </xf>
    <xf numFmtId="0" fontId="4" fillId="2" borderId="7" xfId="3" applyFont="1" applyFill="1" applyBorder="1" applyAlignment="1" applyProtection="1">
      <alignment vertical="center"/>
      <protection hidden="1"/>
    </xf>
    <xf numFmtId="0" fontId="4" fillId="2" borderId="18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vertical="center" wrapText="1"/>
      <protection hidden="1"/>
    </xf>
    <xf numFmtId="0" fontId="4" fillId="2" borderId="5" xfId="3" quotePrefix="1" applyFont="1" applyFill="1" applyBorder="1" applyAlignment="1" applyProtection="1">
      <alignment vertical="center" wrapText="1"/>
      <protection hidden="1"/>
    </xf>
    <xf numFmtId="0" fontId="4" fillId="2" borderId="7" xfId="3" quotePrefix="1" applyFont="1" applyFill="1" applyBorder="1" applyAlignment="1" applyProtection="1">
      <alignment vertical="center" wrapText="1"/>
      <protection hidden="1"/>
    </xf>
    <xf numFmtId="0" fontId="4" fillId="2" borderId="19" xfId="3" applyFont="1" applyFill="1" applyBorder="1" applyAlignment="1" applyProtection="1">
      <alignment vertical="center"/>
      <protection hidden="1"/>
    </xf>
    <xf numFmtId="0" fontId="4" fillId="2" borderId="18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vertical="center" wrapText="1"/>
      <protection hidden="1"/>
    </xf>
    <xf numFmtId="0" fontId="4" fillId="2" borderId="19" xfId="3" quotePrefix="1" applyFont="1" applyFill="1" applyBorder="1" applyAlignment="1" applyProtection="1">
      <alignment vertical="center" wrapText="1"/>
      <protection hidden="1"/>
    </xf>
    <xf numFmtId="0" fontId="4" fillId="2" borderId="8" xfId="3" quotePrefix="1" applyFont="1" applyFill="1" applyBorder="1" applyAlignment="1" applyProtection="1">
      <alignment vertical="center" wrapText="1"/>
      <protection hidden="1"/>
    </xf>
    <xf numFmtId="0" fontId="4" fillId="2" borderId="3" xfId="3" quotePrefix="1" applyFont="1" applyFill="1" applyBorder="1" applyAlignment="1" applyProtection="1">
      <alignment vertical="center" wrapText="1"/>
      <protection hidden="1"/>
    </xf>
    <xf numFmtId="0" fontId="4" fillId="2" borderId="4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horizontal="center" vertical="center" wrapText="1"/>
      <protection hidden="1"/>
    </xf>
    <xf numFmtId="0" fontId="4" fillId="2" borderId="18" xfId="1" applyFont="1" applyFill="1" applyBorder="1" applyAlignment="1" applyProtection="1">
      <alignment vertical="center"/>
      <protection hidden="1"/>
    </xf>
    <xf numFmtId="0" fontId="4" fillId="2" borderId="6" xfId="1" applyFont="1" applyFill="1" applyBorder="1" applyAlignment="1" applyProtection="1">
      <alignment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vertical="center"/>
      <protection hidden="1"/>
    </xf>
    <xf numFmtId="0" fontId="4" fillId="2" borderId="8" xfId="1" applyFont="1" applyFill="1" applyBorder="1" applyAlignment="1" applyProtection="1">
      <alignment vertical="center"/>
      <protection hidden="1"/>
    </xf>
    <xf numFmtId="167" fontId="4" fillId="2" borderId="3" xfId="3" quotePrefix="1" applyNumberFormat="1" applyFont="1" applyFill="1" applyBorder="1" applyAlignment="1" applyProtection="1">
      <alignment vertical="center"/>
      <protection hidden="1"/>
    </xf>
    <xf numFmtId="0" fontId="6" fillId="2" borderId="15" xfId="3" applyFont="1" applyFill="1" applyBorder="1" applyAlignment="1" applyProtection="1">
      <alignment horizontal="left" vertical="center"/>
      <protection hidden="1"/>
    </xf>
    <xf numFmtId="0" fontId="6" fillId="2" borderId="15" xfId="3" applyFont="1" applyFill="1" applyBorder="1" applyAlignment="1" applyProtection="1">
      <alignment vertical="center"/>
      <protection hidden="1"/>
    </xf>
    <xf numFmtId="0" fontId="4" fillId="2" borderId="8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horizontal="right" vertical="center"/>
      <protection hidden="1"/>
    </xf>
    <xf numFmtId="0" fontId="4" fillId="2" borderId="4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/>
      <protection hidden="1"/>
    </xf>
    <xf numFmtId="15" fontId="4" fillId="2" borderId="8" xfId="3" quotePrefix="1" applyNumberFormat="1" applyFont="1" applyFill="1" applyBorder="1" applyAlignment="1" applyProtection="1">
      <alignment horizontal="right" vertical="center"/>
      <protection hidden="1"/>
    </xf>
    <xf numFmtId="0" fontId="10" fillId="2" borderId="18" xfId="3" applyFont="1" applyFill="1" applyBorder="1" applyAlignment="1" applyProtection="1">
      <alignment horizontal="center" vertical="center"/>
      <protection hidden="1"/>
    </xf>
    <xf numFmtId="166" fontId="4" fillId="2" borderId="0" xfId="3" quotePrefix="1" applyNumberFormat="1" applyFont="1" applyFill="1" applyAlignment="1" applyProtection="1">
      <alignment horizontal="left" vertical="center"/>
      <protection hidden="1"/>
    </xf>
    <xf numFmtId="49" fontId="4" fillId="2" borderId="3" xfId="3" applyNumberFormat="1" applyFont="1" applyFill="1" applyBorder="1" applyAlignment="1" applyProtection="1">
      <alignment horizontal="center" vertical="center"/>
      <protection hidden="1"/>
    </xf>
    <xf numFmtId="2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3" xfId="3" applyFont="1" applyFill="1" applyBorder="1" applyAlignment="1" applyProtection="1">
      <alignment horizontal="center" vertical="center"/>
      <protection hidden="1"/>
    </xf>
    <xf numFmtId="1" fontId="4" fillId="2" borderId="3" xfId="3" applyNumberFormat="1" applyFont="1" applyFill="1" applyBorder="1" applyAlignment="1" applyProtection="1">
      <alignment horizontal="center" vertical="center"/>
      <protection hidden="1"/>
    </xf>
    <xf numFmtId="174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5" xfId="3" applyFont="1" applyFill="1" applyBorder="1" applyAlignment="1" applyProtection="1">
      <alignment horizontal="centerContinuous" vertical="center"/>
      <protection hidden="1"/>
    </xf>
    <xf numFmtId="0" fontId="4" fillId="2" borderId="37" xfId="3" applyFont="1" applyFill="1" applyBorder="1" applyAlignment="1" applyProtection="1">
      <alignment horizontal="right" vertical="center"/>
      <protection hidden="1"/>
    </xf>
    <xf numFmtId="0" fontId="17" fillId="0" borderId="5" xfId="3" applyBorder="1"/>
    <xf numFmtId="0" fontId="4" fillId="2" borderId="10" xfId="3" applyFont="1" applyFill="1" applyBorder="1" applyAlignment="1" applyProtection="1">
      <alignment horizontal="right" vertical="center"/>
      <protection hidden="1"/>
    </xf>
    <xf numFmtId="0" fontId="17" fillId="2" borderId="19" xfId="3" applyFill="1" applyBorder="1" applyProtection="1">
      <protection hidden="1"/>
    </xf>
    <xf numFmtId="0" fontId="4" fillId="2" borderId="19" xfId="3" applyFont="1" applyFill="1" applyBorder="1" applyAlignment="1" applyProtection="1">
      <alignment horizontal="center" vertical="center"/>
      <protection hidden="1"/>
    </xf>
    <xf numFmtId="0" fontId="4" fillId="2" borderId="14" xfId="3" applyFont="1" applyFill="1" applyBorder="1" applyAlignment="1" applyProtection="1">
      <alignment horizontal="right" vertical="center"/>
      <protection hidden="1"/>
    </xf>
    <xf numFmtId="0" fontId="8" fillId="2" borderId="23" xfId="3" applyFont="1" applyFill="1" applyBorder="1" applyAlignment="1" applyProtection="1">
      <alignment vertical="center"/>
      <protection hidden="1"/>
    </xf>
    <xf numFmtId="0" fontId="4" fillId="2" borderId="2" xfId="3" quotePrefix="1" applyFont="1" applyFill="1" applyBorder="1" applyAlignment="1" applyProtection="1">
      <alignment horizontal="left" vertical="center"/>
      <protection locked="0"/>
    </xf>
    <xf numFmtId="0" fontId="4" fillId="2" borderId="12" xfId="3" applyFont="1" applyFill="1" applyBorder="1" applyAlignment="1" applyProtection="1">
      <alignment vertical="center"/>
      <protection hidden="1"/>
    </xf>
    <xf numFmtId="0" fontId="4" fillId="2" borderId="22" xfId="3" applyFont="1" applyFill="1" applyBorder="1" applyAlignment="1" applyProtection="1">
      <alignment vertical="center"/>
      <protection hidden="1"/>
    </xf>
    <xf numFmtId="0" fontId="4" fillId="2" borderId="32" xfId="3" quotePrefix="1" applyFont="1" applyFill="1" applyBorder="1" applyAlignment="1" applyProtection="1">
      <alignment horizontal="left" vertical="center"/>
      <protection locked="0"/>
    </xf>
    <xf numFmtId="0" fontId="4" fillId="2" borderId="20" xfId="3" applyFont="1" applyFill="1" applyBorder="1" applyAlignment="1" applyProtection="1">
      <alignment vertical="center"/>
      <protection hidden="1"/>
    </xf>
    <xf numFmtId="0" fontId="4" fillId="2" borderId="36" xfId="3" applyFont="1" applyFill="1" applyBorder="1" applyAlignment="1" applyProtection="1">
      <alignment vertical="center"/>
      <protection hidden="1"/>
    </xf>
    <xf numFmtId="0" fontId="17" fillId="2" borderId="8" xfId="3" applyFill="1" applyBorder="1"/>
    <xf numFmtId="0" fontId="17" fillId="2" borderId="3" xfId="3" applyFill="1" applyBorder="1"/>
    <xf numFmtId="0" fontId="17" fillId="2" borderId="4" xfId="3" applyFill="1" applyBorder="1"/>
    <xf numFmtId="164" fontId="4" fillId="2" borderId="6" xfId="0" quotePrefix="1" applyFont="1" applyFill="1" applyBorder="1" applyAlignment="1" applyProtection="1">
      <alignment horizontal="right" vertical="center"/>
      <protection hidden="1"/>
    </xf>
    <xf numFmtId="164" fontId="4" fillId="2" borderId="18" xfId="0" quotePrefix="1" applyFont="1" applyFill="1" applyBorder="1" applyAlignment="1" applyProtection="1">
      <alignment horizontal="right" vertical="center"/>
      <protection hidden="1"/>
    </xf>
    <xf numFmtId="15" fontId="4" fillId="2" borderId="8" xfId="0" quotePrefix="1" applyNumberFormat="1" applyFont="1" applyFill="1" applyBorder="1" applyAlignment="1" applyProtection="1">
      <alignment horizontal="right" vertical="center"/>
      <protection hidden="1"/>
    </xf>
    <xf numFmtId="167" fontId="4" fillId="2" borderId="4" xfId="0" applyNumberFormat="1" applyFont="1" applyFill="1" applyBorder="1" applyAlignment="1" applyProtection="1">
      <alignment vertical="center"/>
      <protection locked="0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170" fontId="4" fillId="2" borderId="10" xfId="4" quotePrefix="1" applyNumberFormat="1" applyFont="1" applyFill="1" applyBorder="1" applyAlignment="1" applyProtection="1">
      <alignment horizontal="right" vertical="center"/>
      <protection hidden="1"/>
    </xf>
    <xf numFmtId="173" fontId="17" fillId="0" borderId="0" xfId="3" applyNumberFormat="1" applyAlignment="1">
      <alignment vertical="center"/>
    </xf>
    <xf numFmtId="0" fontId="3" fillId="0" borderId="0" xfId="3" applyFont="1" applyAlignment="1">
      <alignment vertical="center"/>
    </xf>
    <xf numFmtId="168" fontId="6" fillId="2" borderId="17" xfId="1" applyNumberFormat="1" applyFont="1" applyFill="1" applyBorder="1" applyAlignment="1" applyProtection="1">
      <alignment horizontal="center" vertical="center"/>
      <protection locked="0"/>
    </xf>
    <xf numFmtId="168" fontId="6" fillId="2" borderId="15" xfId="1" applyNumberFormat="1" applyFont="1" applyFill="1" applyBorder="1" applyAlignment="1" applyProtection="1">
      <alignment horizontal="center" vertical="center"/>
      <protection locked="0"/>
    </xf>
    <xf numFmtId="166" fontId="6" fillId="2" borderId="36" xfId="1" applyNumberFormat="1" applyFont="1" applyFill="1" applyBorder="1" applyAlignment="1" applyProtection="1">
      <alignment horizontal="center" vertical="center"/>
      <protection hidden="1"/>
    </xf>
    <xf numFmtId="167" fontId="4" fillId="2" borderId="3" xfId="0" applyNumberFormat="1" applyFont="1" applyFill="1" applyBorder="1" applyAlignment="1" applyProtection="1">
      <alignment vertical="center"/>
      <protection locked="0"/>
    </xf>
    <xf numFmtId="164" fontId="4" fillId="2" borderId="0" xfId="0" applyFont="1" applyFill="1" applyAlignment="1" applyProtection="1">
      <alignment horizontal="left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5" xfId="3" applyNumberFormat="1" applyFont="1" applyFill="1" applyBorder="1" applyAlignment="1" applyProtection="1">
      <alignment vertical="center"/>
      <protection locked="0"/>
    </xf>
    <xf numFmtId="4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2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vertical="center"/>
      <protection hidden="1"/>
    </xf>
    <xf numFmtId="169" fontId="6" fillId="2" borderId="17" xfId="4" applyFont="1" applyFill="1" applyBorder="1" applyAlignment="1" applyProtection="1">
      <alignment vertical="center"/>
      <protection hidden="1"/>
    </xf>
    <xf numFmtId="169" fontId="6" fillId="2" borderId="17" xfId="4" applyFont="1" applyFill="1" applyBorder="1" applyAlignment="1" applyProtection="1">
      <alignment horizontal="left" vertical="center"/>
      <protection hidden="1"/>
    </xf>
    <xf numFmtId="0" fontId="6" fillId="2" borderId="17" xfId="5" applyFont="1" applyFill="1" applyBorder="1" applyAlignment="1" applyProtection="1">
      <alignment vertical="center"/>
      <protection hidden="1"/>
    </xf>
    <xf numFmtId="15" fontId="6" fillId="2" borderId="15" xfId="3" applyNumberFormat="1" applyFont="1" applyFill="1" applyBorder="1" applyAlignment="1" applyProtection="1">
      <alignment horizontal="left" vertical="center"/>
      <protection locked="0"/>
    </xf>
    <xf numFmtId="0" fontId="6" fillId="2" borderId="15" xfId="5" applyFont="1" applyFill="1" applyBorder="1" applyAlignment="1" applyProtection="1">
      <alignment vertical="center"/>
      <protection hidden="1"/>
    </xf>
    <xf numFmtId="169" fontId="6" fillId="2" borderId="15" xfId="4" applyFont="1" applyFill="1" applyBorder="1" applyAlignment="1" applyProtection="1">
      <alignment horizontal="right" vertical="center"/>
      <protection hidden="1"/>
    </xf>
    <xf numFmtId="2" fontId="6" fillId="2" borderId="15" xfId="4" applyNumberFormat="1" applyFont="1" applyFill="1" applyBorder="1" applyAlignment="1" applyProtection="1">
      <alignment vertical="center"/>
      <protection hidden="1"/>
    </xf>
    <xf numFmtId="0" fontId="6" fillId="2" borderId="17" xfId="1" applyFont="1" applyFill="1" applyBorder="1" applyAlignment="1" applyProtection="1">
      <alignment horizontal="left" vertical="center"/>
      <protection locked="0"/>
    </xf>
    <xf numFmtId="0" fontId="6" fillId="2" borderId="17" xfId="3" quotePrefix="1" applyFont="1" applyFill="1" applyBorder="1" applyAlignment="1" applyProtection="1">
      <alignment horizontal="left" vertical="center"/>
      <protection hidden="1"/>
    </xf>
    <xf numFmtId="0" fontId="6" fillId="2" borderId="17" xfId="1" applyFont="1" applyFill="1" applyBorder="1" applyAlignment="1" applyProtection="1">
      <alignment vertical="center"/>
      <protection hidden="1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6" fillId="2" borderId="15" xfId="3" quotePrefix="1" applyFont="1" applyFill="1" applyBorder="1" applyAlignment="1" applyProtection="1">
      <alignment horizontal="left" vertical="center"/>
      <protection hidden="1"/>
    </xf>
    <xf numFmtId="0" fontId="6" fillId="2" borderId="15" xfId="1" applyFont="1" applyFill="1" applyBorder="1" applyAlignment="1" applyProtection="1">
      <alignment vertical="center"/>
      <protection hidden="1"/>
    </xf>
    <xf numFmtId="0" fontId="6" fillId="2" borderId="2" xfId="3" quotePrefix="1" applyFont="1" applyFill="1" applyBorder="1" applyAlignment="1" applyProtection="1">
      <alignment horizontal="left" vertical="center"/>
      <protection locked="0"/>
    </xf>
    <xf numFmtId="0" fontId="17" fillId="0" borderId="0" xfId="3" applyAlignment="1">
      <alignment horizontal="center" vertical="center"/>
    </xf>
    <xf numFmtId="0" fontId="38" fillId="0" borderId="0" xfId="3" applyFont="1"/>
    <xf numFmtId="0" fontId="38" fillId="0" borderId="0" xfId="3" applyFont="1" applyAlignment="1">
      <alignment vertical="center"/>
    </xf>
    <xf numFmtId="0" fontId="16" fillId="2" borderId="11" xfId="3" applyFont="1" applyFill="1" applyBorder="1" applyAlignment="1" applyProtection="1">
      <alignment horizontal="center" vertical="center"/>
      <protection hidden="1"/>
    </xf>
    <xf numFmtId="0" fontId="16" fillId="2" borderId="33" xfId="3" applyFont="1" applyFill="1" applyBorder="1" applyAlignment="1" applyProtection="1">
      <alignment horizontal="center" vertical="center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" xfId="3" quotePrefix="1" applyFont="1" applyFill="1" applyBorder="1" applyAlignment="1" applyProtection="1">
      <alignment horizontal="center" vertical="center"/>
      <protection hidden="1"/>
    </xf>
    <xf numFmtId="0" fontId="41" fillId="2" borderId="33" xfId="3" applyFont="1" applyFill="1" applyBorder="1" applyAlignment="1" applyProtection="1">
      <alignment horizontal="center" vertical="center"/>
      <protection hidden="1"/>
    </xf>
    <xf numFmtId="0" fontId="41" fillId="2" borderId="1" xfId="3" applyFont="1" applyFill="1" applyBorder="1" applyAlignment="1" applyProtection="1">
      <alignment horizontal="center" vertical="center"/>
      <protection hidden="1"/>
    </xf>
    <xf numFmtId="0" fontId="41" fillId="2" borderId="1" xfId="3" quotePrefix="1" applyFont="1" applyFill="1" applyBorder="1" applyAlignment="1" applyProtection="1">
      <alignment horizontal="center" vertical="center"/>
      <protection hidden="1"/>
    </xf>
    <xf numFmtId="4" fontId="42" fillId="2" borderId="33" xfId="7" applyNumberFormat="1" applyFont="1" applyFill="1" applyBorder="1" applyAlignment="1" applyProtection="1">
      <alignment horizontal="center" vertical="center"/>
      <protection locked="0"/>
    </xf>
    <xf numFmtId="3" fontId="42" fillId="2" borderId="1" xfId="7" applyNumberFormat="1" applyFont="1" applyFill="1" applyBorder="1" applyAlignment="1" applyProtection="1">
      <alignment horizontal="center" vertical="center"/>
      <protection locked="0"/>
    </xf>
    <xf numFmtId="2" fontId="42" fillId="2" borderId="1" xfId="7" quotePrefix="1" applyNumberFormat="1" applyFont="1" applyFill="1" applyBorder="1" applyAlignment="1" applyProtection="1">
      <alignment horizontal="center" vertical="center"/>
      <protection locked="0"/>
    </xf>
    <xf numFmtId="2" fontId="42" fillId="2" borderId="1" xfId="7" applyNumberFormat="1" applyFont="1" applyFill="1" applyBorder="1" applyAlignment="1" applyProtection="1">
      <alignment horizontal="center" vertical="center"/>
      <protection locked="0"/>
    </xf>
    <xf numFmtId="1" fontId="16" fillId="2" borderId="1" xfId="7" applyNumberFormat="1" applyFont="1" applyFill="1" applyBorder="1" applyAlignment="1" applyProtection="1">
      <alignment horizontal="center" vertical="center"/>
      <protection locked="0"/>
    </xf>
    <xf numFmtId="166" fontId="16" fillId="2" borderId="1" xfId="7" applyNumberFormat="1" applyFont="1" applyFill="1" applyBorder="1" applyAlignment="1" applyProtection="1">
      <alignment horizontal="center" vertical="center"/>
      <protection locked="0"/>
    </xf>
    <xf numFmtId="0" fontId="16" fillId="2" borderId="33" xfId="7" applyFont="1" applyFill="1" applyBorder="1" applyAlignment="1" applyProtection="1">
      <alignment horizontal="center" vertical="center"/>
      <protection locked="0"/>
    </xf>
    <xf numFmtId="0" fontId="16" fillId="2" borderId="1" xfId="7" quotePrefix="1" applyFont="1" applyFill="1" applyBorder="1" applyAlignment="1" applyProtection="1">
      <alignment horizontal="center" vertical="center"/>
      <protection locked="0"/>
    </xf>
    <xf numFmtId="166" fontId="16" fillId="2" borderId="1" xfId="7" quotePrefix="1" applyNumberFormat="1" applyFont="1" applyFill="1" applyBorder="1" applyAlignment="1" applyProtection="1">
      <alignment horizontal="center" vertical="center"/>
      <protection locked="0"/>
    </xf>
    <xf numFmtId="0" fontId="16" fillId="2" borderId="1" xfId="7" applyFont="1" applyFill="1" applyBorder="1" applyAlignment="1" applyProtection="1">
      <alignment horizontal="center" vertical="center"/>
      <protection locked="0"/>
    </xf>
    <xf numFmtId="0" fontId="41" fillId="2" borderId="33" xfId="7" quotePrefix="1" applyFont="1" applyFill="1" applyBorder="1" applyAlignment="1" applyProtection="1">
      <alignment horizontal="center" vertical="center"/>
      <protection locked="0"/>
    </xf>
    <xf numFmtId="0" fontId="41" fillId="2" borderId="34" xfId="7" quotePrefix="1" applyFont="1" applyFill="1" applyBorder="1" applyAlignment="1" applyProtection="1">
      <alignment horizontal="center" vertical="center"/>
      <protection locked="0"/>
    </xf>
    <xf numFmtId="0" fontId="16" fillId="2" borderId="28" xfId="7" applyFont="1" applyFill="1" applyBorder="1" applyAlignment="1" applyProtection="1">
      <alignment horizontal="center" vertical="center"/>
      <protection locked="0"/>
    </xf>
    <xf numFmtId="166" fontId="16" fillId="2" borderId="28" xfId="7" applyNumberFormat="1" applyFont="1" applyFill="1" applyBorder="1" applyAlignment="1" applyProtection="1">
      <alignment horizontal="center" vertical="center"/>
      <protection locked="0"/>
    </xf>
    <xf numFmtId="1" fontId="16" fillId="2" borderId="28" xfId="7" applyNumberFormat="1" applyFont="1" applyFill="1" applyBorder="1" applyAlignment="1" applyProtection="1">
      <alignment horizontal="center" vertical="center"/>
      <protection locked="0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6" fontId="42" fillId="2" borderId="1" xfId="3" applyNumberFormat="1" applyFont="1" applyFill="1" applyBorder="1" applyAlignment="1" applyProtection="1">
      <alignment horizontal="center" vertical="center"/>
      <protection hidden="1"/>
    </xf>
    <xf numFmtId="166" fontId="42" fillId="2" borderId="28" xfId="3" applyNumberFormat="1" applyFont="1" applyFill="1" applyBorder="1" applyAlignment="1" applyProtection="1">
      <alignment horizontal="center" vertical="center"/>
      <protection hidden="1"/>
    </xf>
    <xf numFmtId="0" fontId="4" fillId="2" borderId="12" xfId="3" quotePrefix="1" applyFont="1" applyFill="1" applyBorder="1" applyAlignment="1" applyProtection="1">
      <alignment horizontal="center" vertical="center"/>
      <protection hidden="1"/>
    </xf>
    <xf numFmtId="0" fontId="2" fillId="0" borderId="0" xfId="9"/>
    <xf numFmtId="0" fontId="2" fillId="0" borderId="0" xfId="9" applyAlignment="1">
      <alignment wrapText="1"/>
    </xf>
    <xf numFmtId="0" fontId="3" fillId="0" borderId="0" xfId="10" applyFont="1"/>
    <xf numFmtId="0" fontId="15" fillId="0" borderId="0" xfId="9" applyFont="1"/>
    <xf numFmtId="2" fontId="15" fillId="0" borderId="33" xfId="9" applyNumberFormat="1" applyFont="1" applyBorder="1" applyAlignment="1">
      <alignment horizontal="center"/>
    </xf>
    <xf numFmtId="2" fontId="15" fillId="0" borderId="1" xfId="9" applyNumberFormat="1" applyFont="1" applyBorder="1" applyAlignment="1">
      <alignment horizontal="center"/>
    </xf>
    <xf numFmtId="2" fontId="15" fillId="0" borderId="27" xfId="9" applyNumberFormat="1" applyFont="1" applyBorder="1" applyAlignment="1">
      <alignment horizontal="center"/>
    </xf>
    <xf numFmtId="2" fontId="15" fillId="0" borderId="34" xfId="9" applyNumberFormat="1" applyFont="1" applyBorder="1" applyAlignment="1">
      <alignment horizontal="center"/>
    </xf>
    <xf numFmtId="2" fontId="15" fillId="0" borderId="28" xfId="9" applyNumberFormat="1" applyFont="1" applyBorder="1" applyAlignment="1">
      <alignment horizontal="center"/>
    </xf>
    <xf numFmtId="2" fontId="15" fillId="0" borderId="29" xfId="9" applyNumberFormat="1" applyFont="1" applyBorder="1" applyAlignment="1">
      <alignment horizontal="center"/>
    </xf>
    <xf numFmtId="0" fontId="15" fillId="0" borderId="34" xfId="9" applyFont="1" applyBorder="1" applyAlignment="1">
      <alignment horizontal="center"/>
    </xf>
    <xf numFmtId="176" fontId="15" fillId="0" borderId="28" xfId="9" applyNumberFormat="1" applyFont="1" applyBorder="1" applyAlignment="1">
      <alignment horizontal="center"/>
    </xf>
    <xf numFmtId="166" fontId="15" fillId="0" borderId="28" xfId="9" applyNumberFormat="1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4" fillId="0" borderId="0" xfId="10" applyFont="1"/>
    <xf numFmtId="0" fontId="4" fillId="0" borderId="0" xfId="10" applyFont="1" applyAlignment="1">
      <alignment horizontal="left"/>
    </xf>
    <xf numFmtId="166" fontId="4" fillId="0" borderId="0" xfId="10" applyNumberFormat="1" applyFont="1" applyAlignment="1">
      <alignment horizontal="center"/>
    </xf>
    <xf numFmtId="0" fontId="5" fillId="0" borderId="0" xfId="10" applyFont="1"/>
    <xf numFmtId="0" fontId="4" fillId="0" borderId="0" xfId="10" applyFont="1" applyAlignment="1">
      <alignment horizontal="center"/>
    </xf>
    <xf numFmtId="166" fontId="4" fillId="0" borderId="0" xfId="10" applyNumberFormat="1" applyFont="1"/>
    <xf numFmtId="0" fontId="4" fillId="0" borderId="8" xfId="10" applyFont="1" applyBorder="1"/>
    <xf numFmtId="0" fontId="4" fillId="0" borderId="3" xfId="10" applyFont="1" applyBorder="1"/>
    <xf numFmtId="0" fontId="4" fillId="0" borderId="4" xfId="10" applyFont="1" applyBorder="1"/>
    <xf numFmtId="0" fontId="44" fillId="0" borderId="0" xfId="10" applyFont="1"/>
    <xf numFmtId="0" fontId="4" fillId="0" borderId="0" xfId="10" applyFont="1" applyAlignment="1">
      <alignment vertical="center"/>
    </xf>
    <xf numFmtId="2" fontId="4" fillId="0" borderId="0" xfId="10" applyNumberFormat="1" applyFont="1"/>
    <xf numFmtId="0" fontId="5" fillId="0" borderId="0" xfId="10" applyFont="1" applyAlignment="1">
      <alignment horizontal="center"/>
    </xf>
    <xf numFmtId="0" fontId="4" fillId="0" borderId="19" xfId="10" applyFont="1" applyBorder="1"/>
    <xf numFmtId="166" fontId="4" fillId="0" borderId="0" xfId="10" applyNumberFormat="1" applyFont="1" applyAlignment="1">
      <alignment horizontal="left"/>
    </xf>
    <xf numFmtId="0" fontId="2" fillId="0" borderId="39" xfId="9" applyBorder="1" applyAlignment="1">
      <alignment wrapText="1"/>
    </xf>
    <xf numFmtId="0" fontId="15" fillId="0" borderId="39" xfId="9" applyFont="1" applyBorder="1" applyAlignment="1">
      <alignment wrapText="1"/>
    </xf>
    <xf numFmtId="0" fontId="2" fillId="0" borderId="39" xfId="9" applyBorder="1"/>
    <xf numFmtId="0" fontId="15" fillId="0" borderId="39" xfId="9" applyFont="1" applyBorder="1"/>
    <xf numFmtId="0" fontId="15" fillId="0" borderId="40" xfId="9" applyFont="1" applyBorder="1"/>
    <xf numFmtId="0" fontId="2" fillId="0" borderId="41" xfId="9" applyBorder="1" applyAlignment="1">
      <alignment wrapText="1"/>
    </xf>
    <xf numFmtId="0" fontId="15" fillId="0" borderId="42" xfId="9" applyFont="1" applyBorder="1" applyAlignment="1">
      <alignment wrapText="1"/>
    </xf>
    <xf numFmtId="0" fontId="2" fillId="0" borderId="41" xfId="9" applyBorder="1"/>
    <xf numFmtId="0" fontId="2" fillId="0" borderId="42" xfId="9" applyBorder="1"/>
    <xf numFmtId="0" fontId="15" fillId="0" borderId="41" xfId="9" applyFont="1" applyBorder="1"/>
    <xf numFmtId="0" fontId="15" fillId="0" borderId="42" xfId="9" applyFont="1" applyBorder="1"/>
    <xf numFmtId="0" fontId="15" fillId="0" borderId="43" xfId="9" applyFont="1" applyBorder="1"/>
    <xf numFmtId="0" fontId="15" fillId="0" borderId="44" xfId="9" applyFont="1" applyBorder="1"/>
    <xf numFmtId="0" fontId="15" fillId="0" borderId="45" xfId="9" applyFont="1" applyBorder="1"/>
    <xf numFmtId="0" fontId="2" fillId="0" borderId="46" xfId="9" applyBorder="1"/>
    <xf numFmtId="0" fontId="15" fillId="0" borderId="46" xfId="9" applyFont="1" applyBorder="1"/>
    <xf numFmtId="0" fontId="15" fillId="0" borderId="47" xfId="9" applyFont="1" applyBorder="1"/>
    <xf numFmtId="0" fontId="2" fillId="0" borderId="40" xfId="9" applyBorder="1"/>
    <xf numFmtId="0" fontId="2" fillId="0" borderId="48" xfId="9" applyBorder="1"/>
    <xf numFmtId="0" fontId="15" fillId="0" borderId="33" xfId="9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0" fontId="15" fillId="0" borderId="27" xfId="9" applyFont="1" applyBorder="1" applyAlignment="1">
      <alignment horizontal="center" vertical="center" wrapText="1"/>
    </xf>
    <xf numFmtId="0" fontId="15" fillId="0" borderId="48" xfId="9" applyFont="1" applyBorder="1"/>
    <xf numFmtId="0" fontId="15" fillId="0" borderId="38" xfId="9" applyFont="1" applyBorder="1" applyAlignment="1">
      <alignment horizontal="center" vertical="center"/>
    </xf>
    <xf numFmtId="0" fontId="15" fillId="0" borderId="25" xfId="9" applyFont="1" applyBorder="1" applyAlignment="1">
      <alignment horizontal="center" vertical="center" wrapText="1"/>
    </xf>
    <xf numFmtId="0" fontId="15" fillId="0" borderId="26" xfId="9" applyFont="1" applyBorder="1" applyAlignment="1">
      <alignment horizontal="center" vertical="center" wrapText="1"/>
    </xf>
    <xf numFmtId="0" fontId="15" fillId="0" borderId="33" xfId="9" applyFont="1" applyBorder="1" applyAlignment="1">
      <alignment horizontal="center"/>
    </xf>
    <xf numFmtId="176" fontId="15" fillId="0" borderId="1" xfId="9" applyNumberFormat="1" applyFont="1" applyBorder="1" applyAlignment="1">
      <alignment horizontal="center"/>
    </xf>
    <xf numFmtId="166" fontId="15" fillId="0" borderId="1" xfId="9" applyNumberFormat="1" applyFont="1" applyBorder="1" applyAlignment="1">
      <alignment horizontal="center"/>
    </xf>
    <xf numFmtId="0" fontId="15" fillId="0" borderId="1" xfId="9" applyFont="1" applyBorder="1" applyAlignment="1">
      <alignment horizontal="center"/>
    </xf>
    <xf numFmtId="0" fontId="15" fillId="0" borderId="49" xfId="9" applyFont="1" applyBorder="1"/>
    <xf numFmtId="0" fontId="2" fillId="0" borderId="46" xfId="9" applyBorder="1" applyAlignment="1">
      <alignment wrapText="1"/>
    </xf>
    <xf numFmtId="0" fontId="15" fillId="0" borderId="50" xfId="9" applyFont="1" applyBorder="1" applyAlignment="1">
      <alignment wrapText="1"/>
    </xf>
    <xf numFmtId="0" fontId="2" fillId="0" borderId="50" xfId="9" applyBorder="1"/>
    <xf numFmtId="0" fontId="15" fillId="0" borderId="50" xfId="9" applyFont="1" applyBorder="1"/>
    <xf numFmtId="0" fontId="15" fillId="0" borderId="51" xfId="9" applyFont="1" applyBorder="1"/>
    <xf numFmtId="0" fontId="2" fillId="0" borderId="52" xfId="9" applyBorder="1"/>
    <xf numFmtId="0" fontId="15" fillId="0" borderId="53" xfId="9" applyFont="1" applyBorder="1"/>
    <xf numFmtId="2" fontId="6" fillId="0" borderId="1" xfId="9" applyNumberFormat="1" applyFont="1" applyBorder="1" applyAlignment="1">
      <alignment horizontal="center"/>
    </xf>
    <xf numFmtId="2" fontId="6" fillId="0" borderId="28" xfId="9" applyNumberFormat="1" applyFont="1" applyBorder="1" applyAlignment="1">
      <alignment horizontal="center"/>
    </xf>
    <xf numFmtId="2" fontId="4" fillId="0" borderId="33" xfId="9" applyNumberFormat="1" applyFont="1" applyBorder="1" applyAlignment="1">
      <alignment horizontal="center"/>
    </xf>
    <xf numFmtId="2" fontId="4" fillId="0" borderId="1" xfId="9" applyNumberFormat="1" applyFont="1" applyBorder="1" applyAlignment="1">
      <alignment horizontal="center"/>
    </xf>
    <xf numFmtId="2" fontId="4" fillId="0" borderId="34" xfId="9" applyNumberFormat="1" applyFont="1" applyBorder="1" applyAlignment="1">
      <alignment horizontal="center"/>
    </xf>
    <xf numFmtId="2" fontId="4" fillId="0" borderId="28" xfId="9" applyNumberFormat="1" applyFont="1" applyBorder="1" applyAlignment="1">
      <alignment horizontal="center"/>
    </xf>
    <xf numFmtId="2" fontId="15" fillId="0" borderId="54" xfId="9" applyNumberFormat="1" applyFont="1" applyBorder="1" applyAlignment="1">
      <alignment horizontal="center"/>
    </xf>
    <xf numFmtId="2" fontId="15" fillId="0" borderId="11" xfId="9" applyNumberFormat="1" applyFont="1" applyBorder="1" applyAlignment="1">
      <alignment horizontal="center"/>
    </xf>
    <xf numFmtId="0" fontId="1" fillId="0" borderId="55" xfId="9" applyFont="1" applyBorder="1"/>
    <xf numFmtId="0" fontId="2" fillId="0" borderId="56" xfId="9" applyBorder="1"/>
    <xf numFmtId="0" fontId="2" fillId="0" borderId="47" xfId="9" applyBorder="1"/>
    <xf numFmtId="0" fontId="15" fillId="0" borderId="27" xfId="9" applyFont="1" applyBorder="1" applyAlignment="1">
      <alignment horizontal="center"/>
    </xf>
    <xf numFmtId="168" fontId="15" fillId="0" borderId="34" xfId="9" applyNumberFormat="1" applyFont="1" applyBorder="1" applyAlignment="1">
      <alignment horizontal="center"/>
    </xf>
    <xf numFmtId="168" fontId="15" fillId="0" borderId="28" xfId="9" applyNumberFormat="1" applyFont="1" applyBorder="1" applyAlignment="1">
      <alignment horizontal="center"/>
    </xf>
    <xf numFmtId="168" fontId="15" fillId="0" borderId="29" xfId="9" applyNumberFormat="1" applyFont="1" applyBorder="1" applyAlignment="1">
      <alignment horizontal="center"/>
    </xf>
    <xf numFmtId="166" fontId="6" fillId="0" borderId="1" xfId="9" applyNumberFormat="1" applyFont="1" applyBorder="1" applyAlignment="1">
      <alignment horizontal="center"/>
    </xf>
    <xf numFmtId="166" fontId="6" fillId="0" borderId="27" xfId="9" applyNumberFormat="1" applyFont="1" applyBorder="1" applyAlignment="1">
      <alignment horizontal="center" vertical="center"/>
    </xf>
    <xf numFmtId="166" fontId="6" fillId="0" borderId="29" xfId="9" applyNumberFormat="1" applyFont="1" applyBorder="1" applyAlignment="1">
      <alignment horizontal="center" vertical="center"/>
    </xf>
    <xf numFmtId="49" fontId="15" fillId="4" borderId="4" xfId="10" applyNumberFormat="1" applyFont="1" applyFill="1" applyBorder="1"/>
    <xf numFmtId="49" fontId="15" fillId="4" borderId="7" xfId="10" applyNumberFormat="1" applyFont="1" applyFill="1" applyBorder="1"/>
    <xf numFmtId="49" fontId="15" fillId="4" borderId="19" xfId="10" applyNumberFormat="1" applyFont="1" applyFill="1" applyBorder="1"/>
    <xf numFmtId="0" fontId="4" fillId="0" borderId="6" xfId="10" applyFont="1" applyBorder="1"/>
    <xf numFmtId="0" fontId="4" fillId="0" borderId="5" xfId="10" applyFont="1" applyBorder="1"/>
    <xf numFmtId="0" fontId="4" fillId="0" borderId="7" xfId="10" applyFont="1" applyBorder="1"/>
    <xf numFmtId="0" fontId="4" fillId="0" borderId="18" xfId="10" applyFont="1" applyBorder="1"/>
    <xf numFmtId="49" fontId="4" fillId="0" borderId="0" xfId="10" applyNumberFormat="1" applyFont="1"/>
    <xf numFmtId="166" fontId="4" fillId="0" borderId="19" xfId="10" applyNumberFormat="1" applyFont="1" applyBorder="1" applyAlignment="1">
      <alignment horizontal="center"/>
    </xf>
    <xf numFmtId="0" fontId="4" fillId="0" borderId="19" xfId="10" applyFont="1" applyBorder="1" applyAlignment="1">
      <alignment horizontal="center"/>
    </xf>
    <xf numFmtId="0" fontId="4" fillId="0" borderId="19" xfId="10" applyFont="1" applyBorder="1" applyAlignment="1">
      <alignment horizontal="centerContinuous"/>
    </xf>
    <xf numFmtId="166" fontId="45" fillId="0" borderId="0" xfId="10" applyNumberFormat="1" applyFont="1" applyAlignment="1">
      <alignment horizontal="center"/>
    </xf>
    <xf numFmtId="2" fontId="46" fillId="0" borderId="0" xfId="10" applyNumberFormat="1" applyFont="1" applyAlignment="1">
      <alignment horizontal="center"/>
    </xf>
    <xf numFmtId="49" fontId="4" fillId="0" borderId="19" xfId="10" applyNumberFormat="1" applyFont="1" applyBorder="1" applyAlignment="1">
      <alignment horizontal="center"/>
    </xf>
    <xf numFmtId="2" fontId="4" fillId="0" borderId="0" xfId="10" applyNumberFormat="1" applyFont="1" applyAlignment="1">
      <alignment horizontal="center"/>
    </xf>
    <xf numFmtId="49" fontId="44" fillId="0" borderId="0" xfId="10" applyNumberFormat="1" applyFont="1"/>
    <xf numFmtId="2" fontId="44" fillId="0" borderId="0" xfId="10" applyNumberFormat="1" applyFont="1" applyAlignment="1">
      <alignment horizontal="right"/>
    </xf>
    <xf numFmtId="49" fontId="4" fillId="0" borderId="0" xfId="10" applyNumberFormat="1" applyFont="1" applyAlignment="1">
      <alignment horizontal="center"/>
    </xf>
    <xf numFmtId="49" fontId="47" fillId="0" borderId="0" xfId="10" applyNumberFormat="1" applyFont="1" applyAlignment="1">
      <alignment horizontal="center"/>
    </xf>
    <xf numFmtId="0" fontId="47" fillId="0" borderId="0" xfId="10" applyFont="1" applyAlignment="1">
      <alignment horizontal="center"/>
    </xf>
    <xf numFmtId="2" fontId="47" fillId="0" borderId="0" xfId="10" applyNumberFormat="1" applyFont="1"/>
    <xf numFmtId="176" fontId="45" fillId="0" borderId="0" xfId="10" applyNumberFormat="1" applyFont="1" applyAlignment="1">
      <alignment horizontal="center"/>
    </xf>
    <xf numFmtId="2" fontId="4" fillId="0" borderId="0" xfId="10" applyNumberFormat="1" applyFont="1" applyAlignment="1">
      <alignment horizontal="centerContinuous"/>
    </xf>
    <xf numFmtId="2" fontId="45" fillId="0" borderId="0" xfId="10" applyNumberFormat="1" applyFont="1" applyAlignment="1">
      <alignment horizontal="center"/>
    </xf>
    <xf numFmtId="1" fontId="47" fillId="0" borderId="0" xfId="10" applyNumberFormat="1" applyFont="1" applyAlignment="1">
      <alignment horizontal="center"/>
    </xf>
    <xf numFmtId="2" fontId="47" fillId="0" borderId="0" xfId="10" applyNumberFormat="1" applyFont="1" applyAlignment="1">
      <alignment horizontal="centerContinuous"/>
    </xf>
    <xf numFmtId="0" fontId="4" fillId="0" borderId="0" xfId="10" applyFont="1" applyAlignment="1">
      <alignment horizontal="right"/>
    </xf>
    <xf numFmtId="0" fontId="13" fillId="0" borderId="19" xfId="10" applyFont="1" applyBorder="1"/>
    <xf numFmtId="0" fontId="4" fillId="0" borderId="3" xfId="10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4" fillId="0" borderId="27" xfId="10" applyFont="1" applyBorder="1" applyAlignment="1">
      <alignment horizontal="center"/>
    </xf>
    <xf numFmtId="0" fontId="4" fillId="0" borderId="33" xfId="10" applyFont="1" applyBorder="1" applyAlignment="1">
      <alignment horizontal="center"/>
    </xf>
    <xf numFmtId="1" fontId="4" fillId="0" borderId="1" xfId="10" applyNumberFormat="1" applyFont="1" applyBorder="1" applyAlignment="1">
      <alignment horizontal="center"/>
    </xf>
    <xf numFmtId="2" fontId="4" fillId="0" borderId="1" xfId="10" applyNumberFormat="1" applyFont="1" applyBorder="1" applyAlignment="1">
      <alignment horizontal="center"/>
    </xf>
    <xf numFmtId="0" fontId="4" fillId="0" borderId="34" xfId="10" applyFont="1" applyBorder="1" applyAlignment="1">
      <alignment horizontal="center"/>
    </xf>
    <xf numFmtId="1" fontId="4" fillId="0" borderId="28" xfId="10" applyNumberFormat="1" applyFont="1" applyBorder="1" applyAlignment="1">
      <alignment horizontal="center"/>
    </xf>
    <xf numFmtId="2" fontId="4" fillId="0" borderId="28" xfId="10" applyNumberFormat="1" applyFont="1" applyBorder="1" applyAlignment="1">
      <alignment horizontal="center"/>
    </xf>
    <xf numFmtId="2" fontId="6" fillId="0" borderId="1" xfId="10" applyNumberFormat="1" applyFont="1" applyBorder="1" applyAlignment="1">
      <alignment horizontal="center"/>
    </xf>
    <xf numFmtId="2" fontId="6" fillId="0" borderId="27" xfId="10" applyNumberFormat="1" applyFont="1" applyBorder="1" applyAlignment="1">
      <alignment horizontal="center"/>
    </xf>
    <xf numFmtId="2" fontId="6" fillId="0" borderId="28" xfId="10" applyNumberFormat="1" applyFont="1" applyBorder="1" applyAlignment="1">
      <alignment horizontal="center"/>
    </xf>
    <xf numFmtId="2" fontId="6" fillId="0" borderId="29" xfId="10" applyNumberFormat="1" applyFont="1" applyBorder="1" applyAlignment="1">
      <alignment horizontal="center"/>
    </xf>
    <xf numFmtId="0" fontId="4" fillId="2" borderId="17" xfId="5" applyFont="1" applyFill="1" applyBorder="1" applyAlignment="1">
      <alignment horizontal="center" vertical="center"/>
    </xf>
    <xf numFmtId="0" fontId="3" fillId="0" borderId="5" xfId="10" applyFont="1" applyBorder="1"/>
    <xf numFmtId="2" fontId="4" fillId="2" borderId="0" xfId="3" quotePrefix="1" applyNumberFormat="1" applyFont="1" applyFill="1" applyAlignment="1" applyProtection="1">
      <alignment horizontal="right" vertical="center"/>
      <protection hidden="1"/>
    </xf>
    <xf numFmtId="0" fontId="3" fillId="0" borderId="3" xfId="10" applyFont="1" applyBorder="1"/>
    <xf numFmtId="0" fontId="3" fillId="0" borderId="17" xfId="10" applyFont="1" applyBorder="1"/>
    <xf numFmtId="0" fontId="3" fillId="0" borderId="12" xfId="10" applyFont="1" applyBorder="1"/>
    <xf numFmtId="2" fontId="6" fillId="2" borderId="12" xfId="3" applyNumberFormat="1" applyFont="1" applyFill="1" applyBorder="1" applyAlignment="1" applyProtection="1">
      <alignment horizontal="left" vertical="center"/>
      <protection hidden="1"/>
    </xf>
    <xf numFmtId="2" fontId="6" fillId="2" borderId="12" xfId="3" applyNumberFormat="1" applyFont="1" applyFill="1" applyBorder="1" applyAlignment="1" applyProtection="1">
      <alignment horizontal="center" vertical="center"/>
      <protection hidden="1"/>
    </xf>
    <xf numFmtId="2" fontId="6" fillId="2" borderId="20" xfId="3" applyNumberFormat="1" applyFont="1" applyFill="1" applyBorder="1" applyAlignment="1" applyProtection="1">
      <alignment horizontal="center" vertical="center"/>
      <protection hidden="1"/>
    </xf>
    <xf numFmtId="0" fontId="3" fillId="0" borderId="0" xfId="10" applyFont="1" applyAlignment="1">
      <alignment horizontal="center" vertical="center"/>
    </xf>
    <xf numFmtId="0" fontId="13" fillId="0" borderId="0" xfId="10" applyFont="1"/>
    <xf numFmtId="0" fontId="6" fillId="2" borderId="12" xfId="3" applyFont="1" applyFill="1" applyBorder="1" applyAlignment="1">
      <alignment horizontal="right" vertical="center"/>
    </xf>
    <xf numFmtId="0" fontId="6" fillId="2" borderId="12" xfId="3" applyFont="1" applyFill="1" applyBorder="1" applyAlignment="1">
      <alignment vertical="center"/>
    </xf>
    <xf numFmtId="0" fontId="6" fillId="2" borderId="17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vertical="center"/>
      <protection locked="0"/>
    </xf>
    <xf numFmtId="166" fontId="6" fillId="2" borderId="2" xfId="3" applyNumberFormat="1" applyFont="1" applyFill="1" applyBorder="1" applyAlignment="1">
      <alignment horizontal="right" vertical="center"/>
    </xf>
    <xf numFmtId="166" fontId="6" fillId="2" borderId="9" xfId="3" applyNumberFormat="1" applyFont="1" applyFill="1" applyBorder="1" applyAlignment="1">
      <alignment vertical="center"/>
    </xf>
    <xf numFmtId="0" fontId="51" fillId="0" borderId="12" xfId="3" applyFont="1" applyBorder="1" applyAlignment="1">
      <alignment horizontal="right" vertical="center"/>
    </xf>
    <xf numFmtId="0" fontId="51" fillId="0" borderId="12" xfId="3" applyFont="1" applyBorder="1" applyAlignment="1">
      <alignment vertical="center"/>
    </xf>
    <xf numFmtId="0" fontId="52" fillId="0" borderId="0" xfId="9" applyFont="1"/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165" fontId="4" fillId="3" borderId="1" xfId="3" applyNumberFormat="1" applyFont="1" applyFill="1" applyBorder="1" applyAlignment="1" applyProtection="1">
      <alignment horizontal="center" vertical="center"/>
      <protection locked="0"/>
    </xf>
    <xf numFmtId="165" fontId="4" fillId="3" borderId="27" xfId="3" applyNumberFormat="1" applyFont="1" applyFill="1" applyBorder="1" applyAlignment="1" applyProtection="1">
      <alignment horizontal="center" vertical="center"/>
      <protection locked="0"/>
    </xf>
    <xf numFmtId="166" fontId="4" fillId="3" borderId="9" xfId="3" applyNumberFormat="1" applyFont="1" applyFill="1" applyBorder="1" applyAlignment="1" applyProtection="1">
      <alignment horizontal="center" vertical="center"/>
      <protection locked="0"/>
    </xf>
    <xf numFmtId="166" fontId="4" fillId="3" borderId="1" xfId="3" applyNumberFormat="1" applyFont="1" applyFill="1" applyBorder="1" applyAlignment="1" applyProtection="1">
      <alignment horizontal="center" vertical="center"/>
      <protection locked="0"/>
    </xf>
    <xf numFmtId="2" fontId="4" fillId="2" borderId="33" xfId="3" applyNumberFormat="1" applyFont="1" applyFill="1" applyBorder="1" applyAlignment="1" applyProtection="1">
      <alignment horizontal="left" vertical="center"/>
      <protection locked="0"/>
    </xf>
    <xf numFmtId="2" fontId="4" fillId="2" borderId="1" xfId="3" applyNumberFormat="1" applyFont="1" applyFill="1" applyBorder="1" applyAlignment="1" applyProtection="1">
      <alignment horizontal="left" vertical="center"/>
      <protection locked="0"/>
    </xf>
    <xf numFmtId="2" fontId="4" fillId="2" borderId="2" xfId="3" applyNumberFormat="1" applyFont="1" applyFill="1" applyBorder="1" applyAlignment="1" applyProtection="1">
      <alignment horizontal="left" vertical="center"/>
      <protection locked="0"/>
    </xf>
    <xf numFmtId="166" fontId="6" fillId="2" borderId="11" xfId="3" applyNumberFormat="1" applyFont="1" applyFill="1" applyBorder="1" applyAlignment="1" applyProtection="1">
      <alignment horizontal="center" vertical="center"/>
      <protection locked="0"/>
    </xf>
    <xf numFmtId="166" fontId="6" fillId="2" borderId="1" xfId="3" quotePrefix="1" applyNumberFormat="1" applyFont="1" applyFill="1" applyBorder="1" applyAlignment="1" applyProtection="1">
      <alignment horizontal="center" vertical="center"/>
      <protection locked="0"/>
    </xf>
    <xf numFmtId="166" fontId="6" fillId="2" borderId="1" xfId="3" applyNumberFormat="1" applyFont="1" applyFill="1" applyBorder="1" applyAlignment="1" applyProtection="1">
      <alignment horizontal="center" vertical="center"/>
      <protection locked="0"/>
    </xf>
    <xf numFmtId="164" fontId="13" fillId="2" borderId="1" xfId="0" quotePrefix="1" applyFont="1" applyFill="1" applyBorder="1" applyAlignment="1" applyProtection="1">
      <alignment horizontal="center" vertical="center"/>
      <protection hidden="1"/>
    </xf>
    <xf numFmtId="164" fontId="13" fillId="2" borderId="27" xfId="0" quotePrefix="1" applyFont="1" applyFill="1" applyBorder="1" applyAlignment="1" applyProtection="1">
      <alignment horizontal="center" vertical="center"/>
      <protection hidden="1"/>
    </xf>
    <xf numFmtId="164" fontId="4" fillId="3" borderId="1" xfId="0" applyFont="1" applyFill="1" applyBorder="1" applyAlignment="1" applyProtection="1">
      <alignment horizontal="center" vertical="center"/>
      <protection hidden="1"/>
    </xf>
    <xf numFmtId="164" fontId="4" fillId="3" borderId="27" xfId="0" applyFont="1" applyFill="1" applyBorder="1" applyAlignment="1" applyProtection="1">
      <alignment horizontal="center" vertical="center"/>
      <protection hidden="1"/>
    </xf>
    <xf numFmtId="165" fontId="4" fillId="3" borderId="1" xfId="0" applyNumberFormat="1" applyFont="1" applyFill="1" applyBorder="1" applyAlignment="1" applyProtection="1">
      <alignment horizontal="center" vertical="center"/>
      <protection locked="0"/>
    </xf>
    <xf numFmtId="165" fontId="4" fillId="3" borderId="27" xfId="0" applyNumberFormat="1" applyFont="1" applyFill="1" applyBorder="1" applyAlignment="1" applyProtection="1">
      <alignment horizontal="center" vertical="center"/>
      <protection locked="0"/>
    </xf>
    <xf numFmtId="166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164" fontId="13" fillId="2" borderId="25" xfId="0" quotePrefix="1" applyFont="1" applyFill="1" applyBorder="1" applyAlignment="1" applyProtection="1">
      <alignment horizontal="center" vertical="center"/>
      <protection hidden="1"/>
    </xf>
    <xf numFmtId="164" fontId="13" fillId="2" borderId="26" xfId="0" quotePrefix="1" applyFont="1" applyFill="1" applyBorder="1" applyAlignment="1" applyProtection="1">
      <alignment horizontal="center" vertical="center"/>
      <protection hidden="1"/>
    </xf>
    <xf numFmtId="166" fontId="4" fillId="3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5" xfId="3" quotePrefix="1" applyFont="1" applyBorder="1" applyAlignment="1" applyProtection="1">
      <alignment horizontal="center" vertical="center" wrapText="1"/>
      <protection hidden="1"/>
    </xf>
    <xf numFmtId="0" fontId="4" fillId="0" borderId="0" xfId="3" quotePrefix="1" applyFont="1" applyAlignment="1" applyProtection="1">
      <alignment horizontal="center" vertical="center" wrapText="1"/>
      <protection hidden="1"/>
    </xf>
    <xf numFmtId="0" fontId="4" fillId="0" borderId="3" xfId="3" quotePrefix="1" applyFont="1" applyBorder="1" applyAlignment="1" applyProtection="1">
      <alignment horizontal="center" vertical="center" wrapText="1"/>
      <protection hidden="1"/>
    </xf>
    <xf numFmtId="4" fontId="4" fillId="2" borderId="17" xfId="0" quotePrefix="1" applyNumberFormat="1" applyFont="1" applyFill="1" applyBorder="1" applyAlignment="1" applyProtection="1">
      <alignment horizontal="center" vertical="center"/>
      <protection hidden="1"/>
    </xf>
    <xf numFmtId="3" fontId="4" fillId="2" borderId="12" xfId="0" quotePrefix="1" applyNumberFormat="1" applyFont="1" applyFill="1" applyBorder="1" applyAlignment="1" applyProtection="1">
      <alignment horizontal="center" vertical="center"/>
      <protection hidden="1"/>
    </xf>
    <xf numFmtId="164" fontId="4" fillId="2" borderId="17" xfId="0" applyFont="1" applyFill="1" applyBorder="1" applyAlignment="1" applyProtection="1">
      <alignment horizontal="center" vertical="center"/>
      <protection locked="0"/>
    </xf>
    <xf numFmtId="15" fontId="4" fillId="2" borderId="12" xfId="0" applyNumberFormat="1" applyFont="1" applyFill="1" applyBorder="1" applyAlignment="1" applyProtection="1">
      <alignment horizontal="center" vertical="center"/>
      <protection locked="0"/>
    </xf>
    <xf numFmtId="167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33" xfId="0" applyNumberFormat="1" applyFont="1" applyFill="1" applyBorder="1" applyAlignment="1" applyProtection="1">
      <alignment horizontal="left" vertical="center"/>
      <protection locked="0"/>
    </xf>
    <xf numFmtId="2" fontId="4" fillId="2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33" xfId="0" applyFont="1" applyFill="1" applyBorder="1" applyAlignment="1" applyProtection="1">
      <alignment horizontal="left" vertical="center"/>
      <protection hidden="1"/>
    </xf>
    <xf numFmtId="164" fontId="4" fillId="2" borderId="1" xfId="0" applyFont="1" applyFill="1" applyBorder="1" applyAlignment="1" applyProtection="1">
      <alignment horizontal="left" vertical="center"/>
      <protection hidden="1"/>
    </xf>
    <xf numFmtId="164" fontId="13" fillId="2" borderId="38" xfId="0" applyFont="1" applyFill="1" applyBorder="1" applyAlignment="1" applyProtection="1">
      <alignment horizontal="center" vertical="center"/>
      <protection hidden="1"/>
    </xf>
    <xf numFmtId="164" fontId="13" fillId="2" borderId="25" xfId="0" applyFont="1" applyFill="1" applyBorder="1" applyAlignment="1" applyProtection="1">
      <alignment horizontal="center" vertical="center"/>
      <protection hidden="1"/>
    </xf>
    <xf numFmtId="164" fontId="13" fillId="2" borderId="33" xfId="0" applyFont="1" applyFill="1" applyBorder="1" applyAlignment="1" applyProtection="1">
      <alignment horizontal="center" vertical="center"/>
      <protection hidden="1"/>
    </xf>
    <xf numFmtId="164" fontId="13" fillId="2" borderId="1" xfId="0" applyFont="1" applyFill="1" applyBorder="1" applyAlignment="1" applyProtection="1">
      <alignment horizontal="center" vertical="center"/>
      <protection hidden="1"/>
    </xf>
    <xf numFmtId="166" fontId="6" fillId="2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0" xfId="3" applyAlignment="1">
      <alignment horizontal="center"/>
    </xf>
    <xf numFmtId="0" fontId="11" fillId="2" borderId="2" xfId="3" quotePrefix="1" applyFont="1" applyFill="1" applyBorder="1" applyAlignment="1" applyProtection="1">
      <alignment horizontal="center" vertical="center"/>
      <protection hidden="1"/>
    </xf>
    <xf numFmtId="0" fontId="11" fillId="2" borderId="12" xfId="3" quotePrefix="1" applyFont="1" applyFill="1" applyBorder="1" applyAlignment="1" applyProtection="1">
      <alignment horizontal="center" vertical="center"/>
      <protection hidden="1"/>
    </xf>
    <xf numFmtId="0" fontId="11" fillId="2" borderId="22" xfId="3" quotePrefix="1" applyFont="1" applyFill="1" applyBorder="1" applyAlignment="1" applyProtection="1">
      <alignment horizontal="center" vertical="center"/>
      <protection hidden="1"/>
    </xf>
    <xf numFmtId="0" fontId="40" fillId="2" borderId="24" xfId="3" quotePrefix="1" applyFont="1" applyFill="1" applyBorder="1" applyAlignment="1" applyProtection="1">
      <alignment horizontal="center" vertical="center"/>
      <protection hidden="1"/>
    </xf>
    <xf numFmtId="0" fontId="40" fillId="2" borderId="17" xfId="3" quotePrefix="1" applyFont="1" applyFill="1" applyBorder="1" applyAlignment="1" applyProtection="1">
      <alignment horizontal="center" vertical="center"/>
      <protection hidden="1"/>
    </xf>
    <xf numFmtId="0" fontId="40" fillId="2" borderId="30" xfId="3" quotePrefix="1" applyFont="1" applyFill="1" applyBorder="1" applyAlignment="1" applyProtection="1">
      <alignment horizontal="center" vertical="center"/>
      <protection hidden="1"/>
    </xf>
    <xf numFmtId="0" fontId="16" fillId="2" borderId="31" xfId="3" applyFont="1" applyFill="1" applyBorder="1" applyAlignment="1" applyProtection="1">
      <alignment horizontal="center" vertical="center"/>
      <protection hidden="1"/>
    </xf>
    <xf numFmtId="0" fontId="16" fillId="2" borderId="9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6" fillId="2" borderId="13" xfId="3" quotePrefix="1" applyFont="1" applyFill="1" applyBorder="1" applyAlignment="1" applyProtection="1">
      <alignment horizontal="center" vertical="center"/>
      <protection hidden="1"/>
    </xf>
    <xf numFmtId="0" fontId="16" fillId="2" borderId="16" xfId="3" quotePrefix="1" applyFont="1" applyFill="1" applyBorder="1" applyAlignment="1" applyProtection="1">
      <alignment horizontal="center" vertical="center"/>
      <protection hidden="1"/>
    </xf>
    <xf numFmtId="0" fontId="16" fillId="2" borderId="13" xfId="3" applyFont="1" applyFill="1" applyBorder="1" applyAlignment="1" applyProtection="1">
      <alignment horizontal="center" vertical="center"/>
      <protection hidden="1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7" fontId="6" fillId="2" borderId="12" xfId="3" applyNumberFormat="1" applyFont="1" applyFill="1" applyBorder="1" applyAlignment="1" applyProtection="1">
      <alignment horizontal="left" vertical="center"/>
      <protection locked="0"/>
    </xf>
    <xf numFmtId="0" fontId="15" fillId="0" borderId="34" xfId="9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15" fillId="0" borderId="38" xfId="9" applyFont="1" applyBorder="1" applyAlignment="1">
      <alignment horizontal="center"/>
    </xf>
    <xf numFmtId="0" fontId="15" fillId="0" borderId="25" xfId="9" applyFont="1" applyBorder="1" applyAlignment="1">
      <alignment horizontal="center"/>
    </xf>
    <xf numFmtId="0" fontId="15" fillId="0" borderId="26" xfId="9" applyFont="1" applyBorder="1" applyAlignment="1">
      <alignment horizontal="center"/>
    </xf>
    <xf numFmtId="4" fontId="6" fillId="2" borderId="17" xfId="3" quotePrefix="1" applyNumberFormat="1" applyFont="1" applyFill="1" applyBorder="1" applyAlignment="1" applyProtection="1">
      <alignment horizontal="center" vertical="center"/>
      <protection locked="0"/>
    </xf>
    <xf numFmtId="0" fontId="6" fillId="2" borderId="21" xfId="3" quotePrefix="1" applyFont="1" applyFill="1" applyBorder="1" applyAlignment="1" applyProtection="1">
      <alignment horizontal="center" vertical="center"/>
      <protection locked="0"/>
    </xf>
    <xf numFmtId="3" fontId="6" fillId="2" borderId="15" xfId="3" applyNumberFormat="1" applyFont="1" applyFill="1" applyBorder="1" applyAlignment="1" applyProtection="1">
      <alignment horizontal="center" vertical="center"/>
      <protection locked="0"/>
    </xf>
    <xf numFmtId="0" fontId="6" fillId="2" borderId="23" xfId="3" applyFont="1" applyFill="1" applyBorder="1" applyAlignment="1" applyProtection="1">
      <alignment horizontal="center" vertical="center"/>
      <protection locked="0"/>
    </xf>
    <xf numFmtId="166" fontId="6" fillId="2" borderId="20" xfId="3" quotePrefix="1" applyNumberFormat="1" applyFont="1" applyFill="1" applyBorder="1" applyAlignment="1" applyProtection="1">
      <alignment horizontal="center" vertical="center"/>
      <protection locked="0"/>
    </xf>
    <xf numFmtId="166" fontId="6" fillId="2" borderId="36" xfId="3" quotePrefix="1" applyNumberFormat="1" applyFont="1" applyFill="1" applyBorder="1" applyAlignment="1" applyProtection="1">
      <alignment horizontal="center" vertical="center"/>
      <protection locked="0"/>
    </xf>
    <xf numFmtId="167" fontId="6" fillId="2" borderId="20" xfId="3" applyNumberFormat="1" applyFont="1" applyFill="1" applyBorder="1" applyAlignment="1" applyProtection="1">
      <alignment horizontal="left" vertical="center"/>
      <protection locked="0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15" fillId="2" borderId="12" xfId="3" applyFont="1" applyFill="1" applyBorder="1" applyAlignment="1" applyProtection="1">
      <alignment horizontal="center" vertical="center"/>
      <protection locked="0"/>
    </xf>
    <xf numFmtId="0" fontId="3" fillId="0" borderId="31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4" fillId="2" borderId="17" xfId="1" applyFont="1" applyFill="1" applyBorder="1" applyAlignment="1" applyProtection="1">
      <alignment horizontal="center" vertical="center"/>
      <protection locked="0"/>
    </xf>
    <xf numFmtId="0" fontId="18" fillId="0" borderId="5" xfId="3" applyFont="1" applyBorder="1" applyAlignment="1" applyProtection="1">
      <alignment horizontal="center" vertical="center" wrapText="1"/>
      <protection hidden="1"/>
    </xf>
    <xf numFmtId="0" fontId="18" fillId="0" borderId="0" xfId="3" applyFont="1" applyAlignment="1" applyProtection="1">
      <alignment horizontal="center" vertical="center" wrapText="1"/>
      <protection hidden="1"/>
    </xf>
    <xf numFmtId="0" fontId="18" fillId="0" borderId="3" xfId="3" applyFont="1" applyBorder="1" applyAlignment="1" applyProtection="1">
      <alignment horizontal="center" vertical="center" wrapText="1"/>
      <protection hidden="1"/>
    </xf>
    <xf numFmtId="170" fontId="6" fillId="2" borderId="17" xfId="4" applyNumberFormat="1" applyFont="1" applyFill="1" applyBorder="1" applyAlignment="1" applyProtection="1">
      <alignment horizontal="center" vertical="center"/>
      <protection locked="0"/>
    </xf>
    <xf numFmtId="165" fontId="6" fillId="2" borderId="17" xfId="1" applyNumberFormat="1" applyFont="1" applyFill="1" applyBorder="1" applyAlignment="1" applyProtection="1">
      <alignment horizontal="center" vertical="center"/>
      <protection locked="0"/>
    </xf>
    <xf numFmtId="170" fontId="6" fillId="2" borderId="12" xfId="4" applyNumberFormat="1" applyFont="1" applyFill="1" applyBorder="1" applyAlignment="1" applyProtection="1">
      <alignment horizontal="center" vertical="center"/>
      <protection locked="0"/>
    </xf>
    <xf numFmtId="165" fontId="4" fillId="2" borderId="12" xfId="1" applyNumberFormat="1" applyFont="1" applyFill="1" applyBorder="1" applyAlignment="1" applyProtection="1">
      <alignment horizontal="center" vertical="center"/>
      <protection locked="0"/>
    </xf>
    <xf numFmtId="165" fontId="4" fillId="2" borderId="12" xfId="5" applyNumberFormat="1" applyFont="1" applyFill="1" applyBorder="1" applyAlignment="1" applyProtection="1">
      <alignment horizontal="center" vertical="center"/>
      <protection hidden="1"/>
    </xf>
    <xf numFmtId="165" fontId="6" fillId="2" borderId="12" xfId="5" applyNumberFormat="1" applyFont="1" applyFill="1" applyBorder="1" applyAlignment="1" applyProtection="1">
      <alignment horizontal="center" vertical="center"/>
      <protection hidden="1"/>
    </xf>
    <xf numFmtId="165" fontId="6" fillId="2" borderId="20" xfId="5" applyNumberFormat="1" applyFont="1" applyFill="1" applyBorder="1" applyAlignment="1" applyProtection="1">
      <alignment horizontal="center" vertical="center"/>
      <protection hidden="1"/>
    </xf>
    <xf numFmtId="165" fontId="4" fillId="2" borderId="20" xfId="5" applyNumberFormat="1" applyFont="1" applyFill="1" applyBorder="1" applyAlignment="1" applyProtection="1">
      <alignment horizontal="center" vertical="center"/>
      <protection hidden="1"/>
    </xf>
    <xf numFmtId="0" fontId="15" fillId="2" borderId="6" xfId="1" quotePrefix="1" applyFont="1" applyFill="1" applyBorder="1" applyAlignment="1" applyProtection="1">
      <alignment horizontal="center" vertical="center"/>
      <protection hidden="1"/>
    </xf>
    <xf numFmtId="0" fontId="15" fillId="2" borderId="5" xfId="1" applyFont="1" applyFill="1" applyBorder="1" applyAlignment="1" applyProtection="1">
      <alignment horizontal="center" vertical="center"/>
      <protection hidden="1"/>
    </xf>
    <xf numFmtId="0" fontId="15" fillId="2" borderId="7" xfId="1" applyFont="1" applyFill="1" applyBorder="1" applyAlignment="1" applyProtection="1">
      <alignment horizontal="center" vertical="center"/>
      <protection hidden="1"/>
    </xf>
    <xf numFmtId="0" fontId="15" fillId="2" borderId="24" xfId="1" quotePrefix="1" applyFont="1" applyFill="1" applyBorder="1" applyAlignment="1" applyProtection="1">
      <alignment horizontal="center" vertical="center"/>
      <protection hidden="1"/>
    </xf>
    <xf numFmtId="0" fontId="15" fillId="2" borderId="17" xfId="1" applyFont="1" applyFill="1" applyBorder="1" applyAlignment="1" applyProtection="1">
      <alignment horizontal="center" vertical="center"/>
      <protection hidden="1"/>
    </xf>
    <xf numFmtId="0" fontId="15" fillId="2" borderId="21" xfId="1" applyFont="1" applyFill="1" applyBorder="1" applyAlignment="1" applyProtection="1">
      <alignment horizontal="center" vertical="center"/>
      <protection hidden="1"/>
    </xf>
    <xf numFmtId="169" fontId="4" fillId="2" borderId="31" xfId="4" quotePrefix="1" applyFont="1" applyFill="1" applyBorder="1" applyAlignment="1" applyProtection="1">
      <alignment horizontal="center" vertical="center"/>
      <protection hidden="1"/>
    </xf>
    <xf numFmtId="169" fontId="4" fillId="2" borderId="9" xfId="4" quotePrefix="1" applyFont="1" applyFill="1" applyBorder="1" applyAlignment="1" applyProtection="1">
      <alignment horizontal="center" vertical="center"/>
      <protection hidden="1"/>
    </xf>
    <xf numFmtId="169" fontId="4" fillId="2" borderId="2" xfId="4" quotePrefix="1" applyFont="1" applyFill="1" applyBorder="1" applyAlignment="1" applyProtection="1">
      <alignment horizontal="center" vertical="center"/>
      <protection hidden="1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165" fontId="6" fillId="2" borderId="12" xfId="1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 vertical="center"/>
    </xf>
    <xf numFmtId="0" fontId="17" fillId="0" borderId="0" xfId="3" applyAlignment="1">
      <alignment horizontal="center" vertical="center"/>
    </xf>
    <xf numFmtId="175" fontId="17" fillId="0" borderId="0" xfId="8" applyNumberFormat="1" applyFont="1" applyAlignment="1">
      <alignment horizontal="center" vertical="center"/>
    </xf>
    <xf numFmtId="0" fontId="4" fillId="0" borderId="0" xfId="10" applyFont="1" applyAlignment="1">
      <alignment horizontal="center" vertical="center"/>
    </xf>
    <xf numFmtId="4" fontId="6" fillId="2" borderId="21" xfId="3" quotePrefix="1" applyNumberFormat="1" applyFont="1" applyFill="1" applyBorder="1" applyAlignment="1" applyProtection="1">
      <alignment horizontal="center" vertical="center"/>
      <protection locked="0"/>
    </xf>
    <xf numFmtId="3" fontId="6" fillId="2" borderId="12" xfId="3" applyNumberFormat="1" applyFont="1" applyFill="1" applyBorder="1" applyAlignment="1" applyProtection="1">
      <alignment horizontal="center" vertical="center"/>
      <protection locked="0"/>
    </xf>
    <xf numFmtId="3" fontId="6" fillId="2" borderId="22" xfId="3" applyNumberFormat="1" applyFont="1" applyFill="1" applyBorder="1" applyAlignment="1" applyProtection="1">
      <alignment horizontal="center" vertical="center"/>
      <protection locked="0"/>
    </xf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49" fontId="4" fillId="0" borderId="26" xfId="10" applyNumberFormat="1" applyFont="1" applyBorder="1" applyAlignment="1">
      <alignment horizontal="center" vertical="center"/>
    </xf>
    <xf numFmtId="49" fontId="4" fillId="0" borderId="27" xfId="10" applyNumberFormat="1" applyFont="1" applyBorder="1" applyAlignment="1">
      <alignment horizontal="center" vertical="center"/>
    </xf>
    <xf numFmtId="49" fontId="4" fillId="0" borderId="38" xfId="10" applyNumberFormat="1" applyFont="1" applyBorder="1" applyAlignment="1">
      <alignment horizontal="center" vertical="center" wrapText="1"/>
    </xf>
    <xf numFmtId="49" fontId="4" fillId="0" borderId="33" xfId="10" applyNumberFormat="1" applyFont="1" applyBorder="1" applyAlignment="1">
      <alignment horizontal="center" vertical="center" wrapText="1"/>
    </xf>
    <xf numFmtId="166" fontId="6" fillId="2" borderId="17" xfId="3" applyNumberFormat="1" applyFont="1" applyFill="1" applyBorder="1" applyAlignment="1" applyProtection="1">
      <alignment horizontal="center" vertical="center"/>
      <protection hidden="1"/>
    </xf>
    <xf numFmtId="166" fontId="6" fillId="2" borderId="21" xfId="3" applyNumberFormat="1" applyFont="1" applyFill="1" applyBorder="1" applyAlignment="1" applyProtection="1">
      <alignment horizontal="center" vertical="center"/>
      <protection hidden="1"/>
    </xf>
    <xf numFmtId="166" fontId="6" fillId="2" borderId="15" xfId="3" applyNumberFormat="1" applyFont="1" applyFill="1" applyBorder="1" applyAlignment="1" applyProtection="1">
      <alignment horizontal="center" vertical="center"/>
      <protection hidden="1"/>
    </xf>
    <xf numFmtId="166" fontId="6" fillId="2" borderId="23" xfId="3" applyNumberFormat="1" applyFont="1" applyFill="1" applyBorder="1" applyAlignment="1" applyProtection="1">
      <alignment horizontal="center" vertical="center"/>
      <protection hidden="1"/>
    </xf>
    <xf numFmtId="166" fontId="6" fillId="2" borderId="3" xfId="3" applyNumberFormat="1" applyFont="1" applyFill="1" applyBorder="1" applyAlignment="1" applyProtection="1">
      <alignment horizontal="center" vertical="center"/>
      <protection locked="0"/>
    </xf>
    <xf numFmtId="166" fontId="6" fillId="2" borderId="4" xfId="3" applyNumberFormat="1" applyFont="1" applyFill="1" applyBorder="1" applyAlignment="1" applyProtection="1">
      <alignment horizontal="center" vertical="center"/>
      <protection locked="0"/>
    </xf>
    <xf numFmtId="49" fontId="4" fillId="0" borderId="25" xfId="10" applyNumberFormat="1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167" fontId="6" fillId="2" borderId="3" xfId="3" quotePrefix="1" applyNumberFormat="1" applyFont="1" applyFill="1" applyBorder="1" applyAlignment="1" applyProtection="1">
      <alignment horizontal="left" vertical="center"/>
      <protection locked="0"/>
    </xf>
    <xf numFmtId="0" fontId="4" fillId="0" borderId="3" xfId="10" applyFont="1" applyBorder="1" applyAlignment="1">
      <alignment horizontal="center"/>
    </xf>
    <xf numFmtId="166" fontId="50" fillId="0" borderId="6" xfId="10" applyNumberFormat="1" applyFont="1" applyBorder="1" applyAlignment="1">
      <alignment horizontal="center" vertical="center" wrapText="1"/>
    </xf>
    <xf numFmtId="166" fontId="50" fillId="0" borderId="5" xfId="10" applyNumberFormat="1" applyFont="1" applyBorder="1" applyAlignment="1">
      <alignment horizontal="center" vertical="center" wrapText="1"/>
    </xf>
    <xf numFmtId="166" fontId="50" fillId="0" borderId="7" xfId="10" applyNumberFormat="1" applyFont="1" applyBorder="1" applyAlignment="1">
      <alignment horizontal="center" vertical="center" wrapText="1"/>
    </xf>
    <xf numFmtId="166" fontId="50" fillId="0" borderId="18" xfId="10" applyNumberFormat="1" applyFont="1" applyBorder="1" applyAlignment="1">
      <alignment horizontal="center" vertical="center" wrapText="1"/>
    </xf>
    <xf numFmtId="166" fontId="50" fillId="0" borderId="0" xfId="10" applyNumberFormat="1" applyFont="1" applyAlignment="1">
      <alignment horizontal="center" vertical="center" wrapText="1"/>
    </xf>
    <xf numFmtId="166" fontId="50" fillId="0" borderId="19" xfId="10" applyNumberFormat="1" applyFont="1" applyBorder="1" applyAlignment="1">
      <alignment horizontal="center" vertical="center" wrapText="1"/>
    </xf>
    <xf numFmtId="166" fontId="50" fillId="0" borderId="8" xfId="10" applyNumberFormat="1" applyFont="1" applyBorder="1" applyAlignment="1">
      <alignment horizontal="center" vertical="center" wrapText="1"/>
    </xf>
    <xf numFmtId="166" fontId="50" fillId="0" borderId="3" xfId="10" applyNumberFormat="1" applyFont="1" applyBorder="1" applyAlignment="1">
      <alignment horizontal="center" vertical="center" wrapText="1"/>
    </xf>
    <xf numFmtId="166" fontId="50" fillId="0" borderId="4" xfId="10" applyNumberFormat="1" applyFont="1" applyBorder="1" applyAlignment="1">
      <alignment horizontal="center" vertical="center" wrapText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 wrapText="1"/>
      <protection hidden="1"/>
    </xf>
    <xf numFmtId="0" fontId="4" fillId="2" borderId="0" xfId="3" quotePrefix="1" applyFont="1" applyFill="1" applyAlignment="1" applyProtection="1">
      <alignment horizontal="right" vertical="center" wrapText="1"/>
      <protection hidden="1"/>
    </xf>
    <xf numFmtId="0" fontId="4" fillId="2" borderId="18" xfId="3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4" fillId="0" borderId="8" xfId="10" applyFont="1" applyBorder="1" applyAlignment="1">
      <alignment horizontal="right"/>
    </xf>
    <xf numFmtId="0" fontId="4" fillId="0" borderId="3" xfId="10" applyFont="1" applyBorder="1" applyAlignment="1">
      <alignment horizontal="right"/>
    </xf>
    <xf numFmtId="0" fontId="3" fillId="0" borderId="0" xfId="13"/>
    <xf numFmtId="0" fontId="4" fillId="2" borderId="6" xfId="13" applyFont="1" applyFill="1" applyBorder="1" applyAlignment="1" applyProtection="1">
      <alignment vertical="center"/>
      <protection hidden="1"/>
    </xf>
    <xf numFmtId="0" fontId="4" fillId="2" borderId="5" xfId="13" applyFont="1" applyFill="1" applyBorder="1" applyAlignment="1" applyProtection="1">
      <alignment vertical="center"/>
      <protection hidden="1"/>
    </xf>
    <xf numFmtId="0" fontId="4" fillId="2" borderId="5" xfId="13" applyFont="1" applyFill="1" applyBorder="1" applyAlignment="1" applyProtection="1">
      <alignment horizontal="centerContinuous" vertical="center"/>
      <protection hidden="1"/>
    </xf>
    <xf numFmtId="0" fontId="4" fillId="2" borderId="5" xfId="13" applyFont="1" applyFill="1" applyBorder="1" applyAlignment="1" applyProtection="1">
      <alignment horizontal="right" vertical="center"/>
      <protection hidden="1"/>
    </xf>
    <xf numFmtId="0" fontId="4" fillId="2" borderId="7" xfId="13" applyFont="1" applyFill="1" applyBorder="1" applyAlignment="1" applyProtection="1">
      <alignment vertical="center"/>
      <protection hidden="1"/>
    </xf>
    <xf numFmtId="0" fontId="4" fillId="2" borderId="18" xfId="13" applyFont="1" applyFill="1" applyBorder="1" applyAlignment="1" applyProtection="1">
      <alignment vertical="center"/>
      <protection hidden="1"/>
    </xf>
    <xf numFmtId="0" fontId="40" fillId="2" borderId="24" xfId="13" quotePrefix="1" applyFont="1" applyFill="1" applyBorder="1" applyAlignment="1" applyProtection="1">
      <alignment horizontal="center" vertical="center"/>
      <protection hidden="1"/>
    </xf>
    <xf numFmtId="0" fontId="40" fillId="2" borderId="17" xfId="13" quotePrefix="1" applyFont="1" applyFill="1" applyBorder="1" applyAlignment="1" applyProtection="1">
      <alignment horizontal="center" vertical="center"/>
      <protection hidden="1"/>
    </xf>
    <xf numFmtId="0" fontId="40" fillId="2" borderId="30" xfId="13" quotePrefix="1" applyFont="1" applyFill="1" applyBorder="1" applyAlignment="1" applyProtection="1">
      <alignment horizontal="center" vertical="center"/>
      <protection hidden="1"/>
    </xf>
    <xf numFmtId="0" fontId="4" fillId="2" borderId="37" xfId="13" applyFont="1" applyFill="1" applyBorder="1" applyAlignment="1" applyProtection="1">
      <alignment horizontal="right" vertical="center"/>
      <protection hidden="1"/>
    </xf>
    <xf numFmtId="0" fontId="6" fillId="2" borderId="17" xfId="13" applyFont="1" applyFill="1" applyBorder="1" applyAlignment="1" applyProtection="1">
      <alignment horizontal="left" vertical="center"/>
      <protection locked="0"/>
    </xf>
    <xf numFmtId="0" fontId="3" fillId="0" borderId="5" xfId="13" applyBorder="1"/>
    <xf numFmtId="0" fontId="4" fillId="2" borderId="19" xfId="13" applyFont="1" applyFill="1" applyBorder="1" applyAlignment="1" applyProtection="1">
      <alignment vertical="center"/>
      <protection hidden="1"/>
    </xf>
    <xf numFmtId="0" fontId="16" fillId="2" borderId="31" xfId="13" applyFont="1" applyFill="1" applyBorder="1" applyAlignment="1" applyProtection="1">
      <alignment horizontal="center" vertical="center"/>
      <protection hidden="1"/>
    </xf>
    <xf numFmtId="0" fontId="16" fillId="2" borderId="9" xfId="13" applyFont="1" applyFill="1" applyBorder="1" applyAlignment="1" applyProtection="1">
      <alignment horizontal="center" vertical="center"/>
      <protection hidden="1"/>
    </xf>
    <xf numFmtId="0" fontId="16" fillId="2" borderId="2" xfId="13" applyFont="1" applyFill="1" applyBorder="1" applyAlignment="1" applyProtection="1">
      <alignment horizontal="center" vertical="center"/>
      <protection hidden="1"/>
    </xf>
    <xf numFmtId="0" fontId="16" fillId="2" borderId="11" xfId="13" applyFont="1" applyFill="1" applyBorder="1" applyAlignment="1" applyProtection="1">
      <alignment horizontal="center" vertical="center"/>
      <protection hidden="1"/>
    </xf>
    <xf numFmtId="0" fontId="16" fillId="2" borderId="13" xfId="13" quotePrefix="1" applyFont="1" applyFill="1" applyBorder="1" applyAlignment="1" applyProtection="1">
      <alignment horizontal="center" vertical="center"/>
      <protection hidden="1"/>
    </xf>
    <xf numFmtId="0" fontId="16" fillId="2" borderId="16" xfId="13" quotePrefix="1" applyFont="1" applyFill="1" applyBorder="1" applyAlignment="1" applyProtection="1">
      <alignment horizontal="center" vertical="center"/>
      <protection hidden="1"/>
    </xf>
    <xf numFmtId="0" fontId="16" fillId="2" borderId="13" xfId="13" applyFont="1" applyFill="1" applyBorder="1" applyAlignment="1" applyProtection="1">
      <alignment horizontal="center" vertical="center"/>
      <protection hidden="1"/>
    </xf>
    <xf numFmtId="0" fontId="16" fillId="2" borderId="16" xfId="13" applyFont="1" applyFill="1" applyBorder="1" applyAlignment="1" applyProtection="1">
      <alignment horizontal="center" vertical="center"/>
      <protection hidden="1"/>
    </xf>
    <xf numFmtId="0" fontId="16" fillId="2" borderId="16" xfId="13" applyFont="1" applyFill="1" applyBorder="1" applyAlignment="1" applyProtection="1">
      <alignment horizontal="center" vertical="center"/>
      <protection hidden="1"/>
    </xf>
    <xf numFmtId="0" fontId="4" fillId="2" borderId="10" xfId="13" applyFont="1" applyFill="1" applyBorder="1" applyAlignment="1" applyProtection="1">
      <alignment horizontal="right" vertical="center"/>
      <protection hidden="1"/>
    </xf>
    <xf numFmtId="15" fontId="6" fillId="2" borderId="15" xfId="13" applyNumberFormat="1" applyFont="1" applyFill="1" applyBorder="1" applyAlignment="1" applyProtection="1">
      <alignment vertical="center"/>
      <protection locked="0"/>
    </xf>
    <xf numFmtId="0" fontId="3" fillId="2" borderId="19" xfId="13" applyFill="1" applyBorder="1" applyProtection="1">
      <protection hidden="1"/>
    </xf>
    <xf numFmtId="0" fontId="4" fillId="2" borderId="19" xfId="13" applyFont="1" applyFill="1" applyBorder="1" applyAlignment="1" applyProtection="1">
      <alignment horizontal="center" vertical="center"/>
      <protection hidden="1"/>
    </xf>
    <xf numFmtId="0" fontId="3" fillId="0" borderId="0" xfId="13" applyAlignment="1">
      <alignment horizontal="center"/>
    </xf>
    <xf numFmtId="0" fontId="16" fillId="2" borderId="33" xfId="13" applyFont="1" applyFill="1" applyBorder="1" applyAlignment="1" applyProtection="1">
      <alignment horizontal="center" vertical="center"/>
      <protection hidden="1"/>
    </xf>
    <xf numFmtId="0" fontId="16" fillId="2" borderId="1" xfId="13" applyFont="1" applyFill="1" applyBorder="1" applyAlignment="1" applyProtection="1">
      <alignment horizontal="center" vertical="center"/>
      <protection hidden="1"/>
    </xf>
    <xf numFmtId="0" fontId="16" fillId="2" borderId="1" xfId="13" quotePrefix="1" applyFont="1" applyFill="1" applyBorder="1" applyAlignment="1" applyProtection="1">
      <alignment horizontal="center" vertical="center"/>
      <protection hidden="1"/>
    </xf>
    <xf numFmtId="0" fontId="4" fillId="2" borderId="14" xfId="13" applyFont="1" applyFill="1" applyBorder="1" applyAlignment="1" applyProtection="1">
      <alignment horizontal="right" vertical="center"/>
      <protection hidden="1"/>
    </xf>
    <xf numFmtId="167" fontId="6" fillId="2" borderId="12" xfId="13" applyNumberFormat="1" applyFont="1" applyFill="1" applyBorder="1" applyAlignment="1" applyProtection="1">
      <alignment horizontal="left" vertical="center"/>
      <protection locked="0"/>
    </xf>
    <xf numFmtId="0" fontId="8" fillId="2" borderId="23" xfId="13" applyFont="1" applyFill="1" applyBorder="1" applyAlignment="1" applyProtection="1">
      <alignment vertical="center"/>
      <protection hidden="1"/>
    </xf>
    <xf numFmtId="0" fontId="41" fillId="2" borderId="33" xfId="13" applyFont="1" applyFill="1" applyBorder="1" applyAlignment="1" applyProtection="1">
      <alignment horizontal="center" vertical="center"/>
      <protection hidden="1"/>
    </xf>
    <xf numFmtId="0" fontId="41" fillId="2" borderId="1" xfId="13" applyFont="1" applyFill="1" applyBorder="1" applyAlignment="1" applyProtection="1">
      <alignment horizontal="center" vertical="center"/>
      <protection hidden="1"/>
    </xf>
    <xf numFmtId="0" fontId="41" fillId="2" borderId="1" xfId="13" quotePrefix="1" applyFont="1" applyFill="1" applyBorder="1" applyAlignment="1" applyProtection="1">
      <alignment horizontal="center" vertical="center"/>
      <protection hidden="1"/>
    </xf>
    <xf numFmtId="0" fontId="11" fillId="2" borderId="2" xfId="13" quotePrefix="1" applyFont="1" applyFill="1" applyBorder="1" applyAlignment="1" applyProtection="1">
      <alignment horizontal="center" vertical="center"/>
      <protection hidden="1"/>
    </xf>
    <xf numFmtId="0" fontId="11" fillId="2" borderId="12" xfId="13" quotePrefix="1" applyFont="1" applyFill="1" applyBorder="1" applyAlignment="1" applyProtection="1">
      <alignment horizontal="center" vertical="center"/>
      <protection hidden="1"/>
    </xf>
    <xf numFmtId="0" fontId="11" fillId="2" borderId="22" xfId="13" quotePrefix="1" applyFont="1" applyFill="1" applyBorder="1" applyAlignment="1" applyProtection="1">
      <alignment horizontal="center" vertical="center"/>
      <protection hidden="1"/>
    </xf>
    <xf numFmtId="0" fontId="10" fillId="2" borderId="18" xfId="13" applyFont="1" applyFill="1" applyBorder="1" applyAlignment="1" applyProtection="1">
      <alignment horizontal="center" vertical="center"/>
      <protection hidden="1"/>
    </xf>
    <xf numFmtId="2" fontId="6" fillId="0" borderId="1" xfId="14" applyNumberFormat="1" applyFont="1" applyBorder="1" applyAlignment="1">
      <alignment horizontal="center"/>
    </xf>
    <xf numFmtId="166" fontId="42" fillId="2" borderId="1" xfId="13" applyNumberFormat="1" applyFont="1" applyFill="1" applyBorder="1" applyAlignment="1" applyProtection="1">
      <alignment horizontal="center" vertical="center"/>
      <protection hidden="1"/>
    </xf>
    <xf numFmtId="0" fontId="6" fillId="2" borderId="2" xfId="13" quotePrefix="1" applyFont="1" applyFill="1" applyBorder="1" applyAlignment="1" applyProtection="1">
      <alignment horizontal="left" vertical="center"/>
      <protection locked="0"/>
    </xf>
    <xf numFmtId="0" fontId="4" fillId="2" borderId="12" xfId="13" applyFont="1" applyFill="1" applyBorder="1" applyAlignment="1" applyProtection="1">
      <alignment vertical="center"/>
      <protection hidden="1"/>
    </xf>
    <xf numFmtId="0" fontId="4" fillId="2" borderId="22" xfId="13" applyFont="1" applyFill="1" applyBorder="1" applyAlignment="1" applyProtection="1">
      <alignment vertical="center"/>
      <protection hidden="1"/>
    </xf>
    <xf numFmtId="0" fontId="4" fillId="2" borderId="2" xfId="13" quotePrefix="1" applyFont="1" applyFill="1" applyBorder="1" applyAlignment="1" applyProtection="1">
      <alignment horizontal="left" vertical="center"/>
      <protection locked="0"/>
    </xf>
    <xf numFmtId="0" fontId="38" fillId="0" borderId="0" xfId="13" applyFont="1"/>
    <xf numFmtId="166" fontId="42" fillId="2" borderId="28" xfId="13" applyNumberFormat="1" applyFont="1" applyFill="1" applyBorder="1" applyAlignment="1" applyProtection="1">
      <alignment horizontal="center" vertical="center"/>
      <protection hidden="1"/>
    </xf>
    <xf numFmtId="0" fontId="4" fillId="2" borderId="32" xfId="13" quotePrefix="1" applyFont="1" applyFill="1" applyBorder="1" applyAlignment="1" applyProtection="1">
      <alignment horizontal="left" vertical="center"/>
      <protection locked="0"/>
    </xf>
    <xf numFmtId="0" fontId="4" fillId="2" borderId="20" xfId="13" applyFont="1" applyFill="1" applyBorder="1" applyAlignment="1" applyProtection="1">
      <alignment vertical="center"/>
      <protection hidden="1"/>
    </xf>
    <xf numFmtId="0" fontId="4" fillId="2" borderId="36" xfId="13" applyFont="1" applyFill="1" applyBorder="1" applyAlignment="1" applyProtection="1">
      <alignment vertical="center"/>
      <protection hidden="1"/>
    </xf>
    <xf numFmtId="0" fontId="3" fillId="2" borderId="8" xfId="13" applyFill="1" applyBorder="1"/>
    <xf numFmtId="0" fontId="3" fillId="2" borderId="3" xfId="13" applyFill="1" applyBorder="1"/>
    <xf numFmtId="0" fontId="3" fillId="2" borderId="4" xfId="13" applyFill="1" applyBorder="1"/>
    <xf numFmtId="164" fontId="53" fillId="2" borderId="57" xfId="0" applyFont="1" applyFill="1" applyBorder="1" applyAlignment="1">
      <alignment horizontal="center" vertical="center" wrapText="1"/>
    </xf>
    <xf numFmtId="164" fontId="53" fillId="2" borderId="58" xfId="0" applyFont="1" applyFill="1" applyBorder="1" applyAlignment="1">
      <alignment horizontal="center" vertical="center" wrapText="1"/>
    </xf>
    <xf numFmtId="164" fontId="3" fillId="0" borderId="38" xfId="0" applyFont="1" applyBorder="1" applyAlignment="1">
      <alignment horizontal="center" vertical="center"/>
    </xf>
    <xf numFmtId="164" fontId="3" fillId="0" borderId="26" xfId="0" applyFont="1" applyBorder="1" applyAlignment="1">
      <alignment horizontal="center" vertical="center"/>
    </xf>
    <xf numFmtId="164" fontId="3" fillId="0" borderId="33" xfId="0" applyFont="1" applyBorder="1" applyAlignment="1">
      <alignment horizontal="center" vertical="center"/>
    </xf>
    <xf numFmtId="164" fontId="3" fillId="0" borderId="27" xfId="0" applyFont="1" applyBorder="1" applyAlignment="1">
      <alignment horizontal="center" vertical="center"/>
    </xf>
    <xf numFmtId="164" fontId="3" fillId="0" borderId="33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64" fontId="3" fillId="0" borderId="34" xfId="0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</cellXfs>
  <cellStyles count="15">
    <cellStyle name="Moneda [0] 2" xfId="6"/>
    <cellStyle name="Normal" xfId="0" builtinId="0"/>
    <cellStyle name="Normal 2" xfId="1"/>
    <cellStyle name="Normal 2 2" xfId="5"/>
    <cellStyle name="Normal 2 3" xfId="11"/>
    <cellStyle name="Normal 3" xfId="3"/>
    <cellStyle name="Normal 3 2" xfId="13"/>
    <cellStyle name="Normal 4" xfId="9"/>
    <cellStyle name="Normal 5" xfId="10"/>
    <cellStyle name="Normal 5 2" xfId="14"/>
    <cellStyle name="Normal_CON1JH22" xfId="4"/>
    <cellStyle name="Normal_Humedad " xfId="7"/>
    <cellStyle name="Percent 2" xfId="12"/>
    <cellStyle name="Porcentaje" xfId="8" builtinId="5"/>
    <cellStyle name="Porcentaje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00"/>
      <color rgb="FF005C00"/>
      <color rgb="FF000099"/>
      <color rgb="FFCC0000"/>
      <color rgb="FF003300"/>
      <color rgb="FF339933"/>
      <color rgb="FF008000"/>
      <color rgb="FF0066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Curva de calibración matraz 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60968787352284"/>
          <c:y val="0.18466375291003831"/>
          <c:w val="0.69622379948985247"/>
          <c:h val="0.64580610982326936"/>
        </c:manualLayout>
      </c:layout>
      <c:scatterChart>
        <c:scatterStyle val="lineMarker"/>
        <c:varyColors val="0"/>
        <c:ser>
          <c:idx val="0"/>
          <c:order val="0"/>
          <c:tx>
            <c:v>Curva de calibración matraz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666603421560257"/>
                  <c:y val="-2.7007138491263332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Gs!$F$16:$F$20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Gs!$G$16:$G$20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E-405B-BD91-DBF7DBBA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66656"/>
        <c:axId val="83768832"/>
      </c:scatterChart>
      <c:valAx>
        <c:axId val="83766656"/>
        <c:scaling>
          <c:orientation val="minMax"/>
          <c:max val="5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768832"/>
        <c:crosses val="autoZero"/>
        <c:crossBetween val="midCat"/>
        <c:majorUnit val="10"/>
      </c:valAx>
      <c:valAx>
        <c:axId val="83768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76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MX"/>
              <a:t>Curva de calibración matraz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3574909642065954E-2"/>
                  <c:y val="5.7988737561514409E-4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Gs!$F$29:$F$33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Gs!$G$29:$G$33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0-46C5-B987-119BBBE5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28416"/>
        <c:axId val="84038784"/>
      </c:scatterChart>
      <c:valAx>
        <c:axId val="84028416"/>
        <c:scaling>
          <c:orientation val="minMax"/>
          <c:max val="5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4038784"/>
        <c:crosses val="autoZero"/>
        <c:crossBetween val="midCat"/>
      </c:valAx>
      <c:valAx>
        <c:axId val="840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402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GRAFICA GRANULOMETRICA</a:t>
            </a:r>
          </a:p>
        </c:rich>
      </c:tx>
      <c:layout>
        <c:manualLayout>
          <c:xMode val="edge"/>
          <c:yMode val="edge"/>
          <c:x val="0.36618838959721012"/>
          <c:y val="2.921215853604891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545217722224184"/>
          <c:y val="0.10950010904797361"/>
          <c:w val="0.84910561067758905"/>
          <c:h val="0.7555944618670517"/>
        </c:manualLayout>
      </c:layout>
      <c:scatterChart>
        <c:scatterStyle val="lineMarker"/>
        <c:varyColors val="0"/>
        <c:ser>
          <c:idx val="0"/>
          <c:order val="0"/>
          <c:tx>
            <c:v>GRAVAS</c:v>
          </c:tx>
          <c:spPr>
            <a:ln w="28575">
              <a:solidFill>
                <a:srgbClr val="FF0000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(Granulometría!$D$23:$D$30,Granulometría!$I$23)</c:f>
            </c:numRef>
          </c:xVal>
          <c:yVal>
            <c:numRef>
              <c:f>(Granulometría!$G$23:$G$30,Granulometría!$L$23)</c:f>
              <c:numCache>
                <c:formatCode>0.000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E-4D01-915F-59C5E95D88FB}"/>
            </c:ext>
          </c:extLst>
        </c:ser>
        <c:ser>
          <c:idx val="1"/>
          <c:order val="1"/>
          <c:tx>
            <c:strRef>
              <c:f>Granulometría!$D$39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Granulometría!$D$39:$D$40</c:f>
            </c:numRef>
          </c:xVal>
          <c:yVal>
            <c:numRef>
              <c:f>Granulometría!$E$39:$E$40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E-4D01-915F-59C5E95D88FB}"/>
            </c:ext>
          </c:extLst>
        </c:ser>
        <c:ser>
          <c:idx val="2"/>
          <c:order val="2"/>
          <c:tx>
            <c:strRef>
              <c:f>Granulometría!$D$41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Granulometría!$D$41:$D$42</c:f>
            </c:numRef>
          </c:xVal>
          <c:yVal>
            <c:numRef>
              <c:f>Granulometría!$E$41:$E$42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E-4D01-915F-59C5E95D88FB}"/>
            </c:ext>
          </c:extLst>
        </c:ser>
        <c:ser>
          <c:idx val="3"/>
          <c:order val="3"/>
          <c:tx>
            <c:strRef>
              <c:f>Granulometría!$D$43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Granulometría!$D$43:$D$44</c:f>
            </c:numRef>
          </c:xVal>
          <c:yVal>
            <c:numRef>
              <c:f>Granulometría!$E$43:$E$44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E-4D01-915F-59C5E95D88FB}"/>
            </c:ext>
          </c:extLst>
        </c:ser>
        <c:ser>
          <c:idx val="4"/>
          <c:order val="4"/>
          <c:tx>
            <c:strRef>
              <c:f>Granulometría!$D$45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Granulometría!$D$45:$D$46</c:f>
            </c:numRef>
          </c:xVal>
          <c:yVal>
            <c:numRef>
              <c:f>Granulometría!$E$45:$E$46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E-4D01-915F-59C5E95D88FB}"/>
            </c:ext>
          </c:extLst>
        </c:ser>
        <c:ser>
          <c:idx val="5"/>
          <c:order val="5"/>
          <c:tx>
            <c:strRef>
              <c:f>Granulometría!$D$47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Granulometría!$D$47:$D$48</c:f>
            </c:numRef>
          </c:xVal>
          <c:yVal>
            <c:numRef>
              <c:f>Granulometría!$E$47:$E$48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4E-4D01-915F-59C5E95D88FB}"/>
            </c:ext>
          </c:extLst>
        </c:ser>
        <c:ser>
          <c:idx val="6"/>
          <c:order val="6"/>
          <c:tx>
            <c:strRef>
              <c:f>Granulometría!$D$49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Granulometría!$D$49:$D$50</c:f>
            </c:numRef>
          </c:xVal>
          <c:yVal>
            <c:numRef>
              <c:f>Granulometría!$E$49:$E$50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E-4D01-915F-59C5E95D88FB}"/>
            </c:ext>
          </c:extLst>
        </c:ser>
        <c:ser>
          <c:idx val="7"/>
          <c:order val="7"/>
          <c:tx>
            <c:strRef>
              <c:f>Granulometría!$D$51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Granulometría!$D$51:$D$52</c:f>
            </c:numRef>
          </c:xVal>
          <c:yVal>
            <c:numRef>
              <c:f>Granulometría!$E$51:$E$52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4E-4D01-915F-59C5E95D88FB}"/>
            </c:ext>
          </c:extLst>
        </c:ser>
        <c:ser>
          <c:idx val="8"/>
          <c:order val="8"/>
          <c:tx>
            <c:strRef>
              <c:f>Granulometría!$D$53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Granulometría!$D$53:$D$54</c:f>
            </c:numRef>
          </c:xVal>
          <c:yVal>
            <c:numRef>
              <c:f>Granulometría!$E$53:$E$54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E-4D01-915F-59C5E95D88FB}"/>
            </c:ext>
          </c:extLst>
        </c:ser>
        <c:ser>
          <c:idx val="9"/>
          <c:order val="9"/>
          <c:tx>
            <c:strRef>
              <c:f>Granulometría!$J$39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Granulometría!$J$39:$J$40</c:f>
            </c:numRef>
          </c:xVal>
          <c:yVal>
            <c:numRef>
              <c:f>Granulometría!$K$39:$K$40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E-4D01-915F-59C5E95D88FB}"/>
            </c:ext>
          </c:extLst>
        </c:ser>
        <c:ser>
          <c:idx val="10"/>
          <c:order val="10"/>
          <c:tx>
            <c:strRef>
              <c:f>Granulometría!$J$41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Granulometría!$J$41:$J$42</c:f>
            </c:numRef>
          </c:xVal>
          <c:yVal>
            <c:numRef>
              <c:f>Granulometría!$K$41:$K$42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4E-4D01-915F-59C5E95D88FB}"/>
            </c:ext>
          </c:extLst>
        </c:ser>
        <c:ser>
          <c:idx val="11"/>
          <c:order val="11"/>
          <c:tx>
            <c:strRef>
              <c:f>Granulometría!$J$43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Granulometría!$J$43:$J$44</c:f>
            </c:numRef>
          </c:xVal>
          <c:yVal>
            <c:numRef>
              <c:f>Granulometría!$K$43:$K$44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4E-4D01-915F-59C5E95D88FB}"/>
            </c:ext>
          </c:extLst>
        </c:ser>
        <c:ser>
          <c:idx val="12"/>
          <c:order val="12"/>
          <c:tx>
            <c:strRef>
              <c:f>Granulometría!$J$45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Granulometría!$J$45:$J$46</c:f>
            </c:numRef>
          </c:xVal>
          <c:yVal>
            <c:numRef>
              <c:f>Granulometría!$K$45:$K$46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4E-4D01-915F-59C5E95D88FB}"/>
            </c:ext>
          </c:extLst>
        </c:ser>
        <c:ser>
          <c:idx val="13"/>
          <c:order val="13"/>
          <c:tx>
            <c:strRef>
              <c:f>Granulometría!$J$47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Granulometría!$J$47:$J$48</c:f>
            </c:numRef>
          </c:xVal>
          <c:yVal>
            <c:numRef>
              <c:f>Granulometría!$K$47:$K$48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4E-4D01-915F-59C5E95D88FB}"/>
            </c:ext>
          </c:extLst>
        </c:ser>
        <c:ser>
          <c:idx val="14"/>
          <c:order val="14"/>
          <c:tx>
            <c:strRef>
              <c:f>Granulometría!$J$49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Granulometría!$J$49:$J$50</c:f>
            </c:numRef>
          </c:xVal>
          <c:yVal>
            <c:numRef>
              <c:f>Granulometría!$K$49:$K$50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54E-4D01-915F-59C5E95D88FB}"/>
            </c:ext>
          </c:extLst>
        </c:ser>
        <c:ser>
          <c:idx val="15"/>
          <c:order val="15"/>
          <c:tx>
            <c:strRef>
              <c:f>Granulometría!$J$51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Granulometría!$J$51:$J$52</c:f>
            </c:numRef>
          </c:xVal>
          <c:yVal>
            <c:numRef>
              <c:f>Granulometría!$K$51:$K$52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54E-4D01-915F-59C5E95D88FB}"/>
            </c:ext>
          </c:extLst>
        </c:ser>
        <c:ser>
          <c:idx val="16"/>
          <c:order val="16"/>
          <c:tx>
            <c:strRef>
              <c:f>Granulometría!$F$39</c:f>
              <c:strCache>
                <c:ptCount val="1"/>
                <c:pt idx="0">
                  <c:v>100.000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Granulometría!$F$39:$F$40</c:f>
              <c:numCache>
                <c:formatCode>0.000</c:formatCode>
                <c:ptCount val="2"/>
                <c:pt idx="0">
                  <c:v>100</c:v>
                </c:pt>
                <c:pt idx="1">
                  <c:v>4.76</c:v>
                </c:pt>
              </c:numCache>
            </c:numRef>
          </c:xVal>
          <c:yVal>
            <c:numRef>
              <c:f>Granulometría!$G$39:$G$40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54E-4D01-915F-59C5E95D88FB}"/>
            </c:ext>
          </c:extLst>
        </c:ser>
        <c:ser>
          <c:idx val="17"/>
          <c:order val="17"/>
          <c:tx>
            <c:strRef>
              <c:f>Granulometría!$H$39</c:f>
              <c:strCache>
                <c:ptCount val="1"/>
                <c:pt idx="0">
                  <c:v>4.760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Granulometría!$H$39:$H$40</c:f>
              <c:numCache>
                <c:formatCode>0.000</c:formatCode>
                <c:ptCount val="2"/>
                <c:pt idx="0">
                  <c:v>4.76</c:v>
                </c:pt>
                <c:pt idx="1">
                  <c:v>7.3999999999999996E-2</c:v>
                </c:pt>
              </c:numCache>
            </c:numRef>
          </c:xVal>
          <c:yVal>
            <c:numRef>
              <c:f>Granulometría!$I$39:$I$40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54E-4D01-915F-59C5E95D88FB}"/>
            </c:ext>
          </c:extLst>
        </c:ser>
        <c:ser>
          <c:idx val="18"/>
          <c:order val="18"/>
          <c:tx>
            <c:strRef>
              <c:f>Granulometría!$F$42</c:f>
              <c:strCache>
                <c:ptCount val="1"/>
                <c:pt idx="0">
                  <c:v>0.074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none"/>
          </c:marker>
          <c:xVal>
            <c:numRef>
              <c:f>Granulometría!$F$42:$F$43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0.01</c:v>
                </c:pt>
              </c:numCache>
            </c:numRef>
          </c:xVal>
          <c:yVal>
            <c:numRef>
              <c:f>Granulometría!$G$42:$G$43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4E-4D01-915F-59C5E95D88FB}"/>
            </c:ext>
          </c:extLst>
        </c:ser>
        <c:ser>
          <c:idx val="19"/>
          <c:order val="19"/>
          <c:tx>
            <c:v>ARENA</c:v>
          </c:tx>
          <c:spPr>
            <a:ln>
              <a:solidFill>
                <a:srgbClr val="00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(Granulometría!$I$23,Granulometría!$I$25:$I$30)</c:f>
            </c:numRef>
          </c:xVal>
          <c:yVal>
            <c:numRef>
              <c:f>(Granulometría!$L$23,Granulometría!$L$25:$L$30)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4E-4D01-915F-59C5E95D8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0256"/>
        <c:axId val="87362176"/>
      </c:scatterChart>
      <c:valAx>
        <c:axId val="87360256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ysClr val="windowText" lastClr="000000"/>
              </a:solidFill>
              <a:prstDash val="solid"/>
              <a:headEnd type="none" w="med" len="med"/>
              <a:tailEnd type="triangle" w="med" len="med"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TAMAÑO DE LAS PARTÍCULAS, EN mm.</a:t>
                </a:r>
              </a:p>
            </c:rich>
          </c:tx>
          <c:layout>
            <c:manualLayout>
              <c:xMode val="edge"/>
              <c:yMode val="edge"/>
              <c:x val="0.37897280777122588"/>
              <c:y val="0.931982197877439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ysClr val="windowText" lastClr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7362176"/>
        <c:crossesAt val="0"/>
        <c:crossBetween val="midCat"/>
      </c:valAx>
      <c:valAx>
        <c:axId val="87362176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 QUE PASA</a:t>
                </a:r>
              </a:p>
            </c:rich>
          </c:tx>
          <c:layout>
            <c:manualLayout>
              <c:xMode val="edge"/>
              <c:yMode val="edge"/>
              <c:x val="1.9670309867982919E-2"/>
              <c:y val="0.38877031488542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525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7360256"/>
        <c:crossesAt val="1.0000000000000002E-2"/>
        <c:crossBetween val="midCat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Arial Narrow" panose="020B060602020203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" footer="0"/>
    <c:pageSetup paperSize="9" orientation="landscape" horizontalDpi="120" verticalDpi="72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Diagrama de fluidez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676980083371931"/>
          <c:y val="0.10599336740903006"/>
          <c:w val="0.78761618033039993"/>
          <c:h val="0.76579925763660706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8823529411764774E-2"/>
                  <c:y val="4.63672873311427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FA3-4705-A528-4133EAEE95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Límites!$S$48:$S$49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Límites!$T$48:$T$49</c:f>
              <c:numCache>
                <c:formatCode>General</c:formatCode>
                <c:ptCount val="2"/>
                <c:pt idx="0">
                  <c:v>62</c:v>
                </c:pt>
                <c:pt idx="1">
                  <c:v>72.27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3-4705-A528-4133EAEE95E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dash"/>
              </a:ln>
            </c:spPr>
            <c:trendlineType val="log"/>
            <c:dispRSqr val="0"/>
            <c:dispEq val="1"/>
            <c:trendlineLbl>
              <c:layout>
                <c:manualLayout>
                  <c:x val="-0.18042102613885594"/>
                  <c:y val="5.9857612267250823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Límites!$C$16:$C$19</c:f>
              <c:numCache>
                <c:formatCode>General</c:formatCode>
                <c:ptCount val="4"/>
              </c:numCache>
            </c:numRef>
          </c:xVal>
          <c:yVal>
            <c:numRef>
              <c:f>Límites!$J$16:$J$19</c:f>
              <c:numCache>
                <c:formatCode>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3-4705-A528-4133EAEE95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Límites!$S$51:$S$52</c:f>
              <c:numCache>
                <c:formatCode>General</c:formatCode>
                <c:ptCount val="2"/>
                <c:pt idx="0">
                  <c:v>10</c:v>
                </c:pt>
                <c:pt idx="1">
                  <c:v>25</c:v>
                </c:pt>
              </c:numCache>
            </c:numRef>
          </c:xVal>
          <c:yVal>
            <c:numRef>
              <c:f>Límites!$T$51:$T$52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A3-4705-A528-4133EAEE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51456"/>
        <c:axId val="89719168"/>
      </c:scatterChart>
      <c:valAx>
        <c:axId val="89651456"/>
        <c:scaling>
          <c:logBase val="10"/>
          <c:orientation val="minMax"/>
          <c:max val="6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Número de golpes, N</a:t>
                </a:r>
              </a:p>
            </c:rich>
          </c:tx>
          <c:layout>
            <c:manualLayout>
              <c:xMode val="edge"/>
              <c:yMode val="edge"/>
              <c:x val="0.36532499614018843"/>
              <c:y val="0.91865492272118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19168"/>
        <c:crossesAt val="0"/>
        <c:crossBetween val="midCat"/>
        <c:majorUnit val="10"/>
        <c:minorUnit val="10"/>
      </c:valAx>
      <c:valAx>
        <c:axId val="89719168"/>
        <c:scaling>
          <c:orientation val="minMax"/>
          <c:max val="80"/>
          <c:min val="6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Contenido de agua, w, %</a:t>
                </a:r>
              </a:p>
            </c:rich>
          </c:tx>
          <c:layout>
            <c:manualLayout>
              <c:xMode val="edge"/>
              <c:yMode val="edge"/>
              <c:x val="3.095877721167207E-3"/>
              <c:y val="0.21332228122984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651456"/>
        <c:crossesAt val="1"/>
        <c:crossBetween val="midCat"/>
        <c:majorUnit val="2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 orientation="landscape" horizontalDpi="-3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Carta de plasticidad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972522965879265"/>
          <c:y val="0.10851230552702651"/>
          <c:w val="0.7926186570428696"/>
          <c:h val="0.73590627258549202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Límites!$S$30:$S$32</c:f>
              <c:numCache>
                <c:formatCode>General</c:formatCode>
                <c:ptCount val="3"/>
                <c:pt idx="0">
                  <c:v>50</c:v>
                </c:pt>
                <c:pt idx="2">
                  <c:v>50</c:v>
                </c:pt>
              </c:numCache>
            </c:numRef>
          </c:xVal>
          <c:yVal>
            <c:numRef>
              <c:f>Límites!$T$30:$T$32</c:f>
              <c:numCache>
                <c:formatCode>General</c:formatCode>
                <c:ptCount val="3"/>
                <c:pt idx="0">
                  <c:v>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1-41BE-8F44-3A65DE984093}"/>
            </c:ext>
          </c:extLst>
        </c:ser>
        <c:ser>
          <c:idx val="1"/>
          <c:order val="1"/>
          <c:tx>
            <c:v>A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Límites!$S$37:$S$38</c:f>
              <c:numCache>
                <c:formatCode>General</c:formatCode>
                <c:ptCount val="2"/>
                <c:pt idx="0">
                  <c:v>25.479452054794521</c:v>
                </c:pt>
                <c:pt idx="1">
                  <c:v>120</c:v>
                </c:pt>
              </c:numCache>
            </c:numRef>
          </c:xVal>
          <c:yVal>
            <c:numRef>
              <c:f>Límites!$T$37:$T$38</c:f>
              <c:numCache>
                <c:formatCode>General</c:formatCode>
                <c:ptCount val="2"/>
                <c:pt idx="0">
                  <c:v>4</c:v>
                </c:pt>
                <c:pt idx="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1-41BE-8F44-3A65DE984093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Límites!$S$40:$S$41</c:f>
              <c:numCache>
                <c:formatCode>General</c:formatCode>
                <c:ptCount val="2"/>
                <c:pt idx="0">
                  <c:v>12.444444444444445</c:v>
                </c:pt>
                <c:pt idx="1">
                  <c:v>25.479452054794521</c:v>
                </c:pt>
              </c:numCache>
            </c:numRef>
          </c:xVal>
          <c:yVal>
            <c:numRef>
              <c:f>Límites!$T$40:$T$41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1-41BE-8F44-3A65DE984093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Límites!$S$42:$S$43</c:f>
              <c:numCache>
                <c:formatCode>General</c:formatCode>
                <c:ptCount val="2"/>
                <c:pt idx="0">
                  <c:v>15.777777777777779</c:v>
                </c:pt>
                <c:pt idx="1">
                  <c:v>29.589041095890412</c:v>
                </c:pt>
              </c:numCache>
            </c:numRef>
          </c:xVal>
          <c:yVal>
            <c:numRef>
              <c:f>Límites!$T$42:$T$43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1-41BE-8F44-3A65DE984093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7441077441077436E-2"/>
                  <c:y val="-6.172839506172839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0000FF"/>
                        </a:solidFill>
                      </a:defRPr>
                    </a:pPr>
                    <a:fld id="{D49B19A6-74D3-41EB-9273-26A073D99BFB}" type="CELLRANGE">
                      <a:rPr lang="en-US"/>
                      <a:pPr>
                        <a:defRPr>
                          <a:solidFill>
                            <a:srgbClr val="0000FF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F9-476E-A545-C201387FA6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Límites!$N$28</c:f>
              <c:numCache>
                <c:formatCode>0.000</c:formatCode>
                <c:ptCount val="1"/>
                <c:pt idx="0">
                  <c:v>0</c:v>
                </c:pt>
              </c:numCache>
            </c:numRef>
          </c:xVal>
          <c:yVal>
            <c:numRef>
              <c:f>Límites!$N$30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Límites!$G$28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4-8091-41BE-8F44-3A65DE984093}"/>
            </c:ext>
          </c:extLst>
        </c:ser>
        <c:ser>
          <c:idx val="5"/>
          <c:order val="5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3175">
                <a:solidFill>
                  <a:schemeClr val="tx1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6-8091-41BE-8F44-3A65DE984093}"/>
              </c:ext>
            </c:extLst>
          </c:dPt>
          <c:xVal>
            <c:numRef>
              <c:f>Límites!$S$34:$S$35</c:f>
              <c:numCache>
                <c:formatCode>General</c:formatCode>
                <c:ptCount val="2"/>
                <c:pt idx="0">
                  <c:v>8</c:v>
                </c:pt>
                <c:pt idx="1">
                  <c:v>120</c:v>
                </c:pt>
              </c:numCache>
            </c:numRef>
          </c:xVal>
          <c:yVal>
            <c:numRef>
              <c:f>Límites!$T$34:$T$35</c:f>
              <c:numCache>
                <c:formatCode>General</c:formatCode>
                <c:ptCount val="2"/>
                <c:pt idx="0">
                  <c:v>0</c:v>
                </c:pt>
                <c:pt idx="1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91-41BE-8F44-3A65DE984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78816"/>
        <c:axId val="89793280"/>
      </c:scatterChart>
      <c:valAx>
        <c:axId val="89778816"/>
        <c:scaling>
          <c:orientation val="minMax"/>
          <c:max val="1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Límite líquido, wL, 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93280"/>
        <c:crossesAt val="0"/>
        <c:crossBetween val="midCat"/>
        <c:majorUnit val="10"/>
        <c:minorUnit val="10"/>
      </c:valAx>
      <c:valAx>
        <c:axId val="89793280"/>
        <c:scaling>
          <c:orientation val="minMax"/>
          <c:max val="6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Indice de plasticidad, PI,%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9778816"/>
        <c:crossesAt val="0"/>
        <c:crossBetween val="midCat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2</xdr:row>
      <xdr:rowOff>60960</xdr:rowOff>
    </xdr:from>
    <xdr:to>
      <xdr:col>12</xdr:col>
      <xdr:colOff>654424</xdr:colOff>
      <xdr:row>5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477000" y="441960"/>
          <a:ext cx="1235449" cy="5581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47625</xdr:colOff>
      <xdr:row>2</xdr:row>
      <xdr:rowOff>19050</xdr:rowOff>
    </xdr:from>
    <xdr:to>
      <xdr:col>2</xdr:col>
      <xdr:colOff>762000</xdr:colOff>
      <xdr:row>5</xdr:row>
      <xdr:rowOff>167640</xdr:rowOff>
    </xdr:to>
    <xdr:pic>
      <xdr:nvPicPr>
        <xdr:cNvPr id="4" name="Imagen 3" descr="C:\Users\ALAN\Pictures\LOGO MEM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0050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02E87-663E-4215-A59D-02326613B0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10</xdr:row>
      <xdr:rowOff>9525</xdr:rowOff>
    </xdr:from>
    <xdr:to>
      <xdr:col>12</xdr:col>
      <xdr:colOff>466725</xdr:colOff>
      <xdr:row>22</xdr:row>
      <xdr:rowOff>128271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A3663-AD65-48D4-9AF1-D43522282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23</xdr:row>
      <xdr:rowOff>192405</xdr:rowOff>
    </xdr:from>
    <xdr:to>
      <xdr:col>12</xdr:col>
      <xdr:colOff>532230</xdr:colOff>
      <xdr:row>37</xdr:row>
      <xdr:rowOff>129225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E02EBE-5449-4ACA-BC17-CBCAA9DC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561975</xdr:colOff>
      <xdr:row>2</xdr:row>
      <xdr:rowOff>57150</xdr:rowOff>
    </xdr:from>
    <xdr:to>
      <xdr:col>12</xdr:col>
      <xdr:colOff>540124</xdr:colOff>
      <xdr:row>5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79B651-CE7B-4902-8CB6-8D9B3E608B8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124575" y="247650"/>
          <a:ext cx="1378324" cy="539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28575</xdr:colOff>
      <xdr:row>2</xdr:row>
      <xdr:rowOff>19050</xdr:rowOff>
    </xdr:from>
    <xdr:to>
      <xdr:col>3</xdr:col>
      <xdr:colOff>97155</xdr:colOff>
      <xdr:row>5</xdr:row>
      <xdr:rowOff>173355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9694BC92-7FDD-495C-ACF5-E63F3EF8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" y="400050"/>
          <a:ext cx="84201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118383</xdr:colOff>
      <xdr:row>56</xdr:row>
      <xdr:rowOff>58510</xdr:rowOff>
    </xdr:from>
    <xdr:to>
      <xdr:col>11</xdr:col>
      <xdr:colOff>545103</xdr:colOff>
      <xdr:row>74</xdr:row>
      <xdr:rowOff>28030</xdr:rowOff>
    </xdr:to>
    <xdr:graphicFrame macro="">
      <xdr:nvGraphicFramePr>
        <xdr:cNvPr id="2" name="Chart 1" title="FORMATO DE GRANULOMETRI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</xdr:colOff>
      <xdr:row>2</xdr:row>
      <xdr:rowOff>87630</xdr:rowOff>
    </xdr:from>
    <xdr:to>
      <xdr:col>11</xdr:col>
      <xdr:colOff>555364</xdr:colOff>
      <xdr:row>5</xdr:row>
      <xdr:rowOff>17145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5412105" y="468630"/>
          <a:ext cx="1201159" cy="5124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38100</xdr:colOff>
      <xdr:row>2</xdr:row>
      <xdr:rowOff>28575</xdr:rowOff>
    </xdr:from>
    <xdr:to>
      <xdr:col>3</xdr:col>
      <xdr:colOff>114300</xdr:colOff>
      <xdr:row>5</xdr:row>
      <xdr:rowOff>171450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09575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0.66966</cdr:x>
      <cdr:y>0.10888</cdr:y>
    </cdr:from>
    <cdr:to>
      <cdr:x>0.95366</cdr:x>
      <cdr:y>0.22923</cdr:y>
    </cdr:to>
    <cdr:sp macro="" textlink="">
      <cdr:nvSpPr>
        <cdr:cNvPr id="5" name="Texto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73603" y="361942"/>
          <a:ext cx="1812417" cy="400070"/>
        </a:xfrm>
        <a:prstGeom xmlns:a="http://schemas.openxmlformats.org/drawingml/2006/main" prst="rect">
          <a:avLst/>
        </a:prstGeom>
        <a:pattFill xmlns:a="http://schemas.openxmlformats.org/drawingml/2006/main" prst="lgConfetti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FF0000"/>
              </a:solidFill>
              <a:latin typeface="Arial Narrow" panose="020B0606020202030204" pitchFamily="34" charset="0"/>
            </a:rPr>
            <a:t>GRAVA</a:t>
          </a:r>
        </a:p>
      </cdr:txBody>
    </cdr:sp>
  </cdr:relSizeAnchor>
  <cdr:relSizeAnchor xmlns:cdr="http://schemas.openxmlformats.org/drawingml/2006/chartDrawing">
    <cdr:from>
      <cdr:x>0.287</cdr:x>
      <cdr:y>0.10888</cdr:y>
    </cdr:from>
    <cdr:to>
      <cdr:x>0.66972</cdr:x>
      <cdr:y>0.22923</cdr:y>
    </cdr:to>
    <cdr:sp macro="" textlink="">
      <cdr:nvSpPr>
        <cdr:cNvPr id="9" name="Texto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31562" y="361943"/>
          <a:ext cx="2442424" cy="400058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00FF"/>
              </a:solidFill>
              <a:latin typeface="Arial Narrow" panose="020B0606020202030204" pitchFamily="34" charset="0"/>
            </a:rPr>
            <a:t>ARENA</a:t>
          </a:r>
        </a:p>
      </cdr:txBody>
    </cdr:sp>
  </cdr:relSizeAnchor>
  <cdr:relSizeAnchor xmlns:cdr="http://schemas.openxmlformats.org/drawingml/2006/chartDrawing">
    <cdr:from>
      <cdr:x>0.10448</cdr:x>
      <cdr:y>0.10888</cdr:y>
    </cdr:from>
    <cdr:to>
      <cdr:x>0.1935</cdr:x>
      <cdr:y>0.22923</cdr:y>
    </cdr:to>
    <cdr:sp macro="" textlink="">
      <cdr:nvSpPr>
        <cdr:cNvPr id="10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731" y="371275"/>
          <a:ext cx="574043" cy="410388"/>
        </a:xfrm>
        <a:prstGeom xmlns:a="http://schemas.openxmlformats.org/drawingml/2006/main" prst="rect">
          <a:avLst/>
        </a:prstGeom>
        <a:pattFill xmlns:a="http://schemas.openxmlformats.org/drawingml/2006/main" prst="ltDnDiag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3300"/>
              </a:solidFill>
              <a:latin typeface="Arial Narrow" panose="020B0606020202030204" pitchFamily="34" charset="0"/>
            </a:rPr>
            <a:t>Arcilla</a:t>
          </a:r>
        </a:p>
      </cdr:txBody>
    </cdr:sp>
  </cdr:relSizeAnchor>
  <cdr:relSizeAnchor xmlns:cdr="http://schemas.openxmlformats.org/drawingml/2006/chartDrawing">
    <cdr:from>
      <cdr:x>0.0403</cdr:x>
      <cdr:y>0.06877</cdr:y>
    </cdr:from>
    <cdr:to>
      <cdr:x>0.09851</cdr:x>
      <cdr:y>0.16332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A2E9338F-2088-00C9-C690-7DAB5DEA8EBC}"/>
            </a:ext>
          </a:extLst>
        </cdr:cNvPr>
        <cdr:cNvSpPr txBox="1"/>
      </cdr:nvSpPr>
      <cdr:spPr>
        <a:xfrm xmlns:a="http://schemas.openxmlformats.org/drawingml/2006/main">
          <a:off x="257174" y="228600"/>
          <a:ext cx="371475" cy="3143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US" sz="1100"/>
        </a:p>
      </cdr:txBody>
    </cdr:sp>
  </cdr:relSizeAnchor>
  <cdr:relSizeAnchor xmlns:cdr="http://schemas.openxmlformats.org/drawingml/2006/chartDrawing">
    <cdr:from>
      <cdr:x>0.19303</cdr:x>
      <cdr:y>0.10984</cdr:y>
    </cdr:from>
    <cdr:to>
      <cdr:x>0.28855</cdr:x>
      <cdr:y>0.23019</cdr:y>
    </cdr:to>
    <cdr:sp macro="" textlink="">
      <cdr:nvSpPr>
        <cdr:cNvPr id="3" name="Texto 4">
          <a:extLst xmlns:a="http://schemas.openxmlformats.org/drawingml/2006/main">
            <a:ext uri="{FF2B5EF4-FFF2-40B4-BE49-F238E27FC236}">
              <a16:creationId xmlns:a16="http://schemas.microsoft.com/office/drawing/2014/main" id="{B069B564-F320-8D76-737D-B1D0AFD8EF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900" y="365125"/>
          <a:ext cx="609584" cy="400070"/>
        </a:xfrm>
        <a:prstGeom xmlns:a="http://schemas.openxmlformats.org/drawingml/2006/main" prst="rect">
          <a:avLst/>
        </a:prstGeom>
        <a:pattFill xmlns:a="http://schemas.openxmlformats.org/drawingml/2006/main" prst="wave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 baseline="0">
              <a:solidFill>
                <a:srgbClr val="003300"/>
              </a:solidFill>
              <a:latin typeface="Arial Narrow" panose="020B0606020202030204" pitchFamily="34" charset="0"/>
            </a:rPr>
            <a:t>Limo</a:t>
          </a:r>
          <a:endParaRPr lang="es-ES" sz="1000" b="1" i="0" strike="noStrike">
            <a:solidFill>
              <a:srgbClr val="003300"/>
            </a:solidFill>
            <a:latin typeface="Arial Narrow" panose="020B060602020203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54769</xdr:colOff>
      <xdr:row>53</xdr:row>
      <xdr:rowOff>134539</xdr:rowOff>
    </xdr:from>
    <xdr:to>
      <xdr:col>7</xdr:col>
      <xdr:colOff>444102</xdr:colOff>
      <xdr:row>73</xdr:row>
      <xdr:rowOff>26867</xdr:rowOff>
    </xdr:to>
    <xdr:graphicFrame macro="">
      <xdr:nvGraphicFramePr>
        <xdr:cNvPr id="2" name="Chart 58">
          <a:extLst>
            <a:ext uri="{FF2B5EF4-FFF2-40B4-BE49-F238E27FC236}">
              <a16:creationId xmlns:a16="http://schemas.microsoft.com/office/drawing/2014/main" id="{02CA9B0E-FF5D-436E-810F-9D60DAA87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139303</xdr:colOff>
      <xdr:row>53</xdr:row>
      <xdr:rowOff>140493</xdr:rowOff>
    </xdr:from>
    <xdr:to>
      <xdr:col>16</xdr:col>
      <xdr:colOff>22622</xdr:colOff>
      <xdr:row>73</xdr:row>
      <xdr:rowOff>32146</xdr:rowOff>
    </xdr:to>
    <xdr:graphicFrame macro="">
      <xdr:nvGraphicFramePr>
        <xdr:cNvPr id="3" name="Chart 62">
          <a:extLst>
            <a:ext uri="{FF2B5EF4-FFF2-40B4-BE49-F238E27FC236}">
              <a16:creationId xmlns:a16="http://schemas.microsoft.com/office/drawing/2014/main" id="{B09BAE77-9CDC-4BFC-B103-DEF52F29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445770</xdr:colOff>
      <xdr:row>47</xdr:row>
      <xdr:rowOff>19050</xdr:rowOff>
    </xdr:from>
    <xdr:to>
      <xdr:col>10</xdr:col>
      <xdr:colOff>217170</xdr:colOff>
      <xdr:row>48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E7E0E6A-659D-4DB2-B4DD-3833C48742C1}"/>
            </a:ext>
          </a:extLst>
        </xdr:cNvPr>
        <xdr:cNvSpPr txBox="1">
          <a:spLocks noChangeArrowheads="1"/>
        </xdr:cNvSpPr>
      </xdr:nvSpPr>
      <xdr:spPr bwMode="auto">
        <a:xfrm>
          <a:off x="5227320" y="8667750"/>
          <a:ext cx="32385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CL-ML</a:t>
          </a:r>
        </a:p>
      </xdr:txBody>
    </xdr:sp>
    <xdr:clientData/>
  </xdr:twoCellAnchor>
  <xdr:twoCellAnchor editAs="oneCell">
    <xdr:from>
      <xdr:col>12</xdr:col>
      <xdr:colOff>247650</xdr:colOff>
      <xdr:row>2</xdr:row>
      <xdr:rowOff>116205</xdr:rowOff>
    </xdr:from>
    <xdr:to>
      <xdr:col>14</xdr:col>
      <xdr:colOff>456304</xdr:colOff>
      <xdr:row>4</xdr:row>
      <xdr:rowOff>169545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B544A4-E2AD-4D7B-8AD8-F47A287E847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686550" y="421005"/>
          <a:ext cx="1380229" cy="4819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55245</xdr:colOff>
      <xdr:row>2</xdr:row>
      <xdr:rowOff>34290</xdr:rowOff>
    </xdr:from>
    <xdr:to>
      <xdr:col>3</xdr:col>
      <xdr:colOff>325755</xdr:colOff>
      <xdr:row>5</xdr:row>
      <xdr:rowOff>133350</xdr:rowOff>
    </xdr:to>
    <xdr:pic>
      <xdr:nvPicPr>
        <xdr:cNvPr id="6" name="Imagen 5" descr="C:\Users\ALAN\Pictures\LOGO MEM.jpg">
          <a:extLst>
            <a:ext uri="{FF2B5EF4-FFF2-40B4-BE49-F238E27FC236}">
              <a16:creationId xmlns:a16="http://schemas.microsoft.com/office/drawing/2014/main" id="{38EAA790-3C1F-4DA1-9967-62D00AE6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" y="339090"/>
          <a:ext cx="819150" cy="7181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0.40446</cdr:x>
      <cdr:y>0.47888</cdr:y>
    </cdr:from>
    <cdr:to>
      <cdr:x>0.46584</cdr:x>
      <cdr:y>0.66346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9369" y="1573663"/>
          <a:ext cx="224504" cy="606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 OL</a:t>
          </a:r>
        </a:p>
      </cdr:txBody>
    </cdr:sp>
  </cdr:relSizeAnchor>
  <cdr:relSizeAnchor xmlns:cdr="http://schemas.openxmlformats.org/drawingml/2006/chartDrawing">
    <cdr:from>
      <cdr:x>0.59101</cdr:x>
      <cdr:y>0.18958</cdr:y>
    </cdr:from>
    <cdr:to>
      <cdr:x>0.65687</cdr:x>
      <cdr:y>0.36258</cdr:y>
    </cdr:to>
    <cdr:sp macro="" textlink="">
      <cdr:nvSpPr>
        <cdr:cNvPr id="532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1682" y="622994"/>
          <a:ext cx="240889" cy="568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CH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OH</a:t>
          </a:r>
        </a:p>
      </cdr:txBody>
    </cdr:sp>
  </cdr:relSizeAnchor>
  <cdr:relSizeAnchor xmlns:cdr="http://schemas.openxmlformats.org/drawingml/2006/chartDrawing">
    <cdr:from>
      <cdr:x>0.33783</cdr:x>
      <cdr:y>0.75756</cdr:y>
    </cdr:from>
    <cdr:to>
      <cdr:x>0.53503</cdr:x>
      <cdr:y>0.85497</cdr:y>
    </cdr:to>
    <cdr:sp macro="" textlink="">
      <cdr:nvSpPr>
        <cdr:cNvPr id="532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5638" y="2489450"/>
          <a:ext cx="721279" cy="320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ML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OL</a:t>
          </a:r>
        </a:p>
      </cdr:txBody>
    </cdr:sp>
  </cdr:relSizeAnchor>
  <cdr:relSizeAnchor xmlns:cdr="http://schemas.openxmlformats.org/drawingml/2006/chartDrawing">
    <cdr:from>
      <cdr:x>0.6768</cdr:x>
      <cdr:y>0.5472</cdr:y>
    </cdr:from>
    <cdr:to>
      <cdr:x>0.86476</cdr:x>
      <cdr:y>0.66454</cdr:y>
    </cdr:to>
    <cdr:sp macro="" textlink="">
      <cdr:nvSpPr>
        <cdr:cNvPr id="532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75476" y="1798164"/>
          <a:ext cx="687482" cy="385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MH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OH</a:t>
          </a:r>
        </a:p>
      </cdr:txBody>
    </cdr:sp>
  </cdr:relSizeAnchor>
  <cdr:relSizeAnchor xmlns:cdr="http://schemas.openxmlformats.org/drawingml/2006/chartDrawing">
    <cdr:from>
      <cdr:x>0.43879</cdr:x>
      <cdr:y>0.08406</cdr:y>
    </cdr:from>
    <cdr:to>
      <cdr:x>0.50785</cdr:x>
      <cdr:y>0.60458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CEB9BEB1-70A0-458B-BAC5-6C2C44A5B5A5}"/>
            </a:ext>
          </a:extLst>
        </cdr:cNvPr>
        <cdr:cNvSpPr txBox="1"/>
      </cdr:nvSpPr>
      <cdr:spPr>
        <a:xfrm xmlns:a="http://schemas.openxmlformats.org/drawingml/2006/main" rot="18220156">
          <a:off x="875969" y="1005185"/>
          <a:ext cx="1710494" cy="252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U  PI=0.9(LL-8)</a:t>
          </a:r>
        </a:p>
      </cdr:txBody>
    </cdr:sp>
  </cdr:relSizeAnchor>
  <cdr:relSizeAnchor xmlns:cdr="http://schemas.openxmlformats.org/drawingml/2006/chartDrawing">
    <cdr:from>
      <cdr:x>0.60413</cdr:x>
      <cdr:y>0.19731</cdr:y>
    </cdr:from>
    <cdr:to>
      <cdr:x>0.70729</cdr:x>
      <cdr:y>0.64394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2703C39F-A4C5-4C98-98FB-EC85F15267BA}"/>
            </a:ext>
          </a:extLst>
        </cdr:cNvPr>
        <cdr:cNvSpPr txBox="1"/>
      </cdr:nvSpPr>
      <cdr:spPr>
        <a:xfrm xmlns:a="http://schemas.openxmlformats.org/drawingml/2006/main" rot="18553690">
          <a:off x="1664493" y="1193575"/>
          <a:ext cx="1467688" cy="377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A  PI=0.73(LL-20)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ES\LABORATORIO\Torzat\LABORATORIO\Sotelo\MARSHALL%20Y%20GRAF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icardo\Downloads\Documents%20and%20Settings\LABORATORIO\Mis%20documentos\EX-USER-2005\FORMATOS\relleno%20estruc\relleno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ISTOBAL/Downloads/Exploraci_n_Geot_cnica_Terracer_as_ST-18_400__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RETO ASF. "/>
      <sheetName val="PESO VOL"/>
      <sheetName val="LIMITES "/>
      <sheetName val="ARENA"/>
      <sheetName val="Marshall "/>
      <sheetName val="MARSHA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hall "/>
      <sheetName val="DISEÑO MARSH."/>
      <sheetName val="MARSHALL"/>
      <sheetName val="MARSHALL (2)"/>
      <sheetName val="MARSHALL (3)"/>
      <sheetName val="MARSHALL (4)"/>
      <sheetName val="DISEÑO MARSH.COATET"/>
      <sheetName val="GRAF. COATET"/>
    </sheetNames>
    <sheetDataSet>
      <sheetData sheetId="0">
        <row r="53">
          <cell r="C53">
            <v>6</v>
          </cell>
          <cell r="D53">
            <v>1.1000000000000001</v>
          </cell>
        </row>
        <row r="54">
          <cell r="C54" t="str">
            <v>6..01</v>
          </cell>
          <cell r="D54">
            <v>1.089</v>
          </cell>
        </row>
        <row r="55">
          <cell r="C55">
            <v>6.02</v>
          </cell>
          <cell r="D55">
            <v>1.0880000000000001</v>
          </cell>
        </row>
        <row r="56">
          <cell r="C56">
            <v>6.03</v>
          </cell>
          <cell r="D56">
            <v>1.087</v>
          </cell>
        </row>
        <row r="57">
          <cell r="C57">
            <v>6.04</v>
          </cell>
          <cell r="D57">
            <v>1.0860000000000001</v>
          </cell>
        </row>
        <row r="58">
          <cell r="C58">
            <v>6.05</v>
          </cell>
          <cell r="D58">
            <v>1.085</v>
          </cell>
        </row>
        <row r="59">
          <cell r="C59">
            <v>6.06</v>
          </cell>
          <cell r="D59">
            <v>1.0820000000000001</v>
          </cell>
        </row>
        <row r="60">
          <cell r="C60">
            <v>6.07</v>
          </cell>
          <cell r="D60">
            <v>1.079</v>
          </cell>
        </row>
        <row r="61">
          <cell r="C61">
            <v>6.08</v>
          </cell>
          <cell r="D61">
            <v>1.0760000000000001</v>
          </cell>
        </row>
        <row r="62">
          <cell r="C62">
            <v>6.09</v>
          </cell>
          <cell r="D62">
            <v>1.073</v>
          </cell>
        </row>
        <row r="63">
          <cell r="C63">
            <v>6.1</v>
          </cell>
          <cell r="D63">
            <v>1.07</v>
          </cell>
        </row>
        <row r="64">
          <cell r="C64">
            <v>6.11</v>
          </cell>
          <cell r="D64">
            <v>1.0669999999999999</v>
          </cell>
        </row>
        <row r="65">
          <cell r="C65">
            <v>6.12</v>
          </cell>
          <cell r="D65">
            <v>1.0640000000000001</v>
          </cell>
        </row>
        <row r="66">
          <cell r="C66">
            <v>6.13</v>
          </cell>
          <cell r="D66">
            <v>1.0609999999999999</v>
          </cell>
        </row>
        <row r="67">
          <cell r="C67">
            <v>6.14</v>
          </cell>
          <cell r="D67">
            <v>1.0580000000000001</v>
          </cell>
        </row>
        <row r="68">
          <cell r="C68">
            <v>6.15</v>
          </cell>
          <cell r="D68">
            <v>1.0549999999999999</v>
          </cell>
        </row>
        <row r="69">
          <cell r="C69">
            <v>6.16</v>
          </cell>
          <cell r="D69">
            <v>1.052</v>
          </cell>
        </row>
        <row r="70">
          <cell r="C70">
            <v>6.17</v>
          </cell>
          <cell r="D70">
            <v>1.0489999999999999</v>
          </cell>
        </row>
        <row r="71">
          <cell r="C71">
            <v>6.18</v>
          </cell>
          <cell r="D71">
            <v>1.046</v>
          </cell>
        </row>
        <row r="72">
          <cell r="C72">
            <v>6.19</v>
          </cell>
          <cell r="D72">
            <v>1.0429999999999999</v>
          </cell>
        </row>
        <row r="73">
          <cell r="C73">
            <v>6.2</v>
          </cell>
          <cell r="D73">
            <v>1.04</v>
          </cell>
        </row>
        <row r="74">
          <cell r="C74">
            <v>6.21</v>
          </cell>
          <cell r="D74">
            <v>1.0369999999999999</v>
          </cell>
        </row>
        <row r="75">
          <cell r="C75">
            <v>6.22</v>
          </cell>
          <cell r="D75">
            <v>1.034</v>
          </cell>
        </row>
        <row r="76">
          <cell r="C76">
            <v>6.23</v>
          </cell>
          <cell r="D76">
            <v>1.0309999999999999</v>
          </cell>
        </row>
        <row r="77">
          <cell r="C77">
            <v>6.24</v>
          </cell>
          <cell r="D77">
            <v>1.028</v>
          </cell>
        </row>
        <row r="78">
          <cell r="C78">
            <v>6.25</v>
          </cell>
          <cell r="D78">
            <v>1.0249999999999999</v>
          </cell>
        </row>
        <row r="79">
          <cell r="C79">
            <v>6.26</v>
          </cell>
          <cell r="D79">
            <v>1.022</v>
          </cell>
        </row>
        <row r="80">
          <cell r="C80">
            <v>6.27</v>
          </cell>
          <cell r="D80">
            <v>1.0189999999999999</v>
          </cell>
        </row>
        <row r="81">
          <cell r="C81">
            <v>6.28</v>
          </cell>
          <cell r="D81">
            <v>1.016</v>
          </cell>
        </row>
        <row r="82">
          <cell r="C82">
            <v>6.2899999999999947</v>
          </cell>
          <cell r="D82">
            <v>1.0129999999999999</v>
          </cell>
        </row>
        <row r="83">
          <cell r="C83">
            <v>6.2999999999999945</v>
          </cell>
          <cell r="D83">
            <v>1.01</v>
          </cell>
        </row>
        <row r="84">
          <cell r="C84">
            <v>6.3099999999999943</v>
          </cell>
          <cell r="D84">
            <v>1.008</v>
          </cell>
        </row>
        <row r="85">
          <cell r="C85">
            <v>6.3199999999999941</v>
          </cell>
          <cell r="D85">
            <v>1.006</v>
          </cell>
        </row>
        <row r="86">
          <cell r="C86">
            <v>6.3299999999999939</v>
          </cell>
          <cell r="D86">
            <v>1.004</v>
          </cell>
        </row>
        <row r="87">
          <cell r="C87">
            <v>6.3399999999999936</v>
          </cell>
          <cell r="D87">
            <v>1.002</v>
          </cell>
        </row>
        <row r="88">
          <cell r="C88">
            <v>6.3499999999999934</v>
          </cell>
          <cell r="D88">
            <v>1</v>
          </cell>
        </row>
        <row r="89">
          <cell r="C89">
            <v>6.3599999999999932</v>
          </cell>
          <cell r="D89">
            <v>0.998</v>
          </cell>
        </row>
        <row r="90">
          <cell r="C90">
            <v>6.369999999999993</v>
          </cell>
          <cell r="D90">
            <v>0.996</v>
          </cell>
        </row>
        <row r="91">
          <cell r="C91">
            <v>6.3799999999999928</v>
          </cell>
          <cell r="D91">
            <v>0.99399999999999999</v>
          </cell>
        </row>
        <row r="92">
          <cell r="C92">
            <v>6.3899999999999926</v>
          </cell>
          <cell r="D92">
            <v>0.99199999999999999</v>
          </cell>
        </row>
        <row r="93">
          <cell r="C93">
            <v>6.3999999999999924</v>
          </cell>
          <cell r="D93">
            <v>0.99</v>
          </cell>
        </row>
        <row r="94">
          <cell r="C94">
            <v>6.4099999999999921</v>
          </cell>
          <cell r="D94">
            <v>0.98699999999999999</v>
          </cell>
        </row>
        <row r="95">
          <cell r="C95">
            <v>6.4199999999999919</v>
          </cell>
          <cell r="D95">
            <v>0.98399999999999999</v>
          </cell>
        </row>
        <row r="96">
          <cell r="C96">
            <v>6.4299999999999917</v>
          </cell>
          <cell r="D96">
            <v>0.98099999999999998</v>
          </cell>
        </row>
        <row r="97">
          <cell r="C97">
            <v>6.4399999999999915</v>
          </cell>
          <cell r="D97">
            <v>0.97799999999999998</v>
          </cell>
        </row>
        <row r="98">
          <cell r="C98">
            <v>6.4499999999999913</v>
          </cell>
          <cell r="D98">
            <v>0.97499999999999998</v>
          </cell>
        </row>
        <row r="99">
          <cell r="C99">
            <v>6.4599999999999911</v>
          </cell>
          <cell r="D99">
            <v>0.97199999999999998</v>
          </cell>
        </row>
        <row r="100">
          <cell r="C100">
            <v>6.4699999999999909</v>
          </cell>
          <cell r="D100">
            <v>0.96899999999999997</v>
          </cell>
        </row>
        <row r="101">
          <cell r="C101">
            <v>6.4799999999999907</v>
          </cell>
          <cell r="D101">
            <v>0.96599999999999997</v>
          </cell>
        </row>
        <row r="102">
          <cell r="C102">
            <v>6.4899999999999904</v>
          </cell>
          <cell r="D102">
            <v>0.96299999999999997</v>
          </cell>
        </row>
        <row r="103">
          <cell r="C103">
            <v>6.4999999999999902</v>
          </cell>
          <cell r="D103">
            <v>0.96</v>
          </cell>
        </row>
        <row r="104">
          <cell r="C104">
            <v>6.50999999999999</v>
          </cell>
          <cell r="D104">
            <v>0.95799999999999996</v>
          </cell>
        </row>
        <row r="105">
          <cell r="C105">
            <v>6.5199999999999898</v>
          </cell>
          <cell r="D105">
            <v>0.95599999999999996</v>
          </cell>
        </row>
        <row r="106">
          <cell r="C106">
            <v>6.5299999999999896</v>
          </cell>
          <cell r="D106">
            <v>0.95399999999999996</v>
          </cell>
        </row>
        <row r="107">
          <cell r="C107">
            <v>6.5399999999999894</v>
          </cell>
          <cell r="D107">
            <v>0.95199999999999996</v>
          </cell>
        </row>
        <row r="108">
          <cell r="C108">
            <v>6.5499999999999892</v>
          </cell>
          <cell r="D108">
            <v>0.95</v>
          </cell>
        </row>
        <row r="109">
          <cell r="C109">
            <v>6.559999999999989</v>
          </cell>
          <cell r="D109">
            <v>0.94799999999999995</v>
          </cell>
        </row>
        <row r="110">
          <cell r="C110">
            <v>6.5699999999999887</v>
          </cell>
          <cell r="D110">
            <v>0.94599999999999995</v>
          </cell>
        </row>
        <row r="111">
          <cell r="C111">
            <v>6.5799999999999885</v>
          </cell>
          <cell r="D111">
            <v>0.94399999999999995</v>
          </cell>
        </row>
        <row r="112">
          <cell r="C112">
            <v>6.5899999999999883</v>
          </cell>
          <cell r="D112">
            <v>0.94199999999999995</v>
          </cell>
        </row>
        <row r="113">
          <cell r="C113">
            <v>6.5999999999999881</v>
          </cell>
          <cell r="D113">
            <v>0.94</v>
          </cell>
        </row>
        <row r="114">
          <cell r="C114">
            <v>6.6099999999999879</v>
          </cell>
          <cell r="D114">
            <v>0.93700000000000006</v>
          </cell>
        </row>
        <row r="115">
          <cell r="C115">
            <v>6.6199999999999877</v>
          </cell>
          <cell r="D115">
            <v>0.93400000000000005</v>
          </cell>
        </row>
        <row r="116">
          <cell r="C116">
            <v>6.6299999999999875</v>
          </cell>
          <cell r="D116">
            <v>0.93100000000000005</v>
          </cell>
        </row>
        <row r="117">
          <cell r="C117">
            <v>6.6399999999999872</v>
          </cell>
          <cell r="D117">
            <v>0.92800000000000005</v>
          </cell>
        </row>
        <row r="118">
          <cell r="C118">
            <v>6.649999999999987</v>
          </cell>
          <cell r="D118">
            <v>0.92500000000000004</v>
          </cell>
        </row>
        <row r="119">
          <cell r="C119">
            <v>6.6599999999999868</v>
          </cell>
          <cell r="D119">
            <v>0.92200000000000004</v>
          </cell>
        </row>
        <row r="120">
          <cell r="C120">
            <v>6.6699999999999866</v>
          </cell>
          <cell r="D120">
            <v>0.91900000000000004</v>
          </cell>
        </row>
        <row r="121">
          <cell r="C121">
            <v>6.6799999999999864</v>
          </cell>
          <cell r="D121">
            <v>0.91600000000000004</v>
          </cell>
        </row>
        <row r="122">
          <cell r="C122">
            <v>6.6899999999999862</v>
          </cell>
          <cell r="D122">
            <v>0.91300000000000003</v>
          </cell>
        </row>
        <row r="123">
          <cell r="C123">
            <v>6.699999999999986</v>
          </cell>
          <cell r="D123">
            <v>0.91</v>
          </cell>
        </row>
        <row r="124">
          <cell r="C124">
            <v>6.7099999999999858</v>
          </cell>
          <cell r="D124">
            <v>0.90800000000000003</v>
          </cell>
        </row>
        <row r="125">
          <cell r="C125">
            <v>6.7199999999999855</v>
          </cell>
          <cell r="D125">
            <v>0.90600000000000003</v>
          </cell>
        </row>
        <row r="126">
          <cell r="C126">
            <v>6.7299999999999853</v>
          </cell>
          <cell r="D126">
            <v>0.90400000000000003</v>
          </cell>
        </row>
        <row r="127">
          <cell r="C127">
            <v>6.7399999999999851</v>
          </cell>
          <cell r="D127">
            <v>0.90200000000000002</v>
          </cell>
        </row>
        <row r="128">
          <cell r="C128">
            <v>6.7499999999999849</v>
          </cell>
          <cell r="D128">
            <v>0.9</v>
          </cell>
        </row>
        <row r="129">
          <cell r="C129">
            <v>6.7599999999999847</v>
          </cell>
          <cell r="D129">
            <v>0.89800000000000002</v>
          </cell>
        </row>
        <row r="130">
          <cell r="C130">
            <v>6.7699999999999845</v>
          </cell>
          <cell r="D130">
            <v>0.89600000000000002</v>
          </cell>
        </row>
        <row r="131">
          <cell r="C131">
            <v>6.7799999999999843</v>
          </cell>
          <cell r="D131">
            <v>0.89400000000000002</v>
          </cell>
        </row>
        <row r="132">
          <cell r="C132">
            <v>6.789999999999984</v>
          </cell>
          <cell r="D132">
            <v>0.89200000000000002</v>
          </cell>
        </row>
        <row r="133">
          <cell r="C133">
            <v>6.7999999999999838</v>
          </cell>
          <cell r="D133">
            <v>0.89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O VOL"/>
      <sheetName val="LIMITES"/>
      <sheetName val="V.R.S.CALC"/>
      <sheetName val="VRSGRAF"/>
      <sheetName val="ARENA"/>
      <sheetName val="LIMITES "/>
      <sheetName val="LIMITES 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w%"/>
      <sheetName val="MO"/>
      <sheetName val="Gs"/>
      <sheetName val="Granulometría"/>
      <sheetName val="Límites"/>
    </sheetNames>
    <sheetDataSet>
      <sheetData sheetId="0">
        <row r="8">
          <cell r="D8" t="str">
            <v>Exploración Geotécnica Terracerías</v>
          </cell>
        </row>
        <row r="9">
          <cell r="D9" t="str">
            <v>KM 27+000 al 85+000, Tabasco</v>
          </cell>
        </row>
        <row r="10">
          <cell r="D10" t="str">
            <v>2026-01-05</v>
          </cell>
          <cell r="J10" t="str">
            <v>0</v>
          </cell>
          <cell r="L10" t="str">
            <v>0.60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9"/>
  <sheetViews>
    <sheetView showGridLines="0" view="pageBreakPreview" topLeftCell="A7" zoomScale="145" zoomScaleNormal="100" zoomScaleSheetLayoutView="145" workbookViewId="0">
      <selection activeCell="H19" sqref="H19:I19"/>
    </sheetView>
  </sheetViews>
  <sheetFormatPr baseColWidth="10" defaultColWidth="11.5" defaultRowHeight="15" customHeight="1"/>
  <cols>
    <col min="1" max="2" width="2.6640625" style="174" customWidth="1"/>
    <col min="3" max="3" width="14.6640625" style="174" customWidth="1"/>
    <col min="4" max="13" width="11.5" style="174" customWidth="1"/>
    <col min="14" max="15" width="2.6640625" style="174" customWidth="1"/>
    <col min="16" max="16384" width="11.5" style="174"/>
  </cols>
  <sheetData>
    <row r="1" spans="2:16" ht="15" customHeight="1" thickBot="1"/>
    <row r="2" spans="2:16" ht="15" customHeight="1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16" ht="15" customHeight="1">
      <c r="B3" s="159"/>
      <c r="C3" s="160"/>
      <c r="D3" s="161"/>
      <c r="E3" s="439" t="s">
        <v>84</v>
      </c>
      <c r="F3" s="439"/>
      <c r="G3" s="439"/>
      <c r="H3" s="439"/>
      <c r="I3" s="439"/>
      <c r="J3" s="439"/>
      <c r="K3" s="439"/>
      <c r="L3" s="161"/>
      <c r="M3" s="162"/>
      <c r="N3" s="163"/>
    </row>
    <row r="4" spans="2:16" ht="15" customHeight="1">
      <c r="B4" s="159"/>
      <c r="C4" s="164"/>
      <c r="D4" s="165"/>
      <c r="E4" s="440"/>
      <c r="F4" s="440"/>
      <c r="G4" s="440"/>
      <c r="H4" s="440"/>
      <c r="I4" s="440"/>
      <c r="J4" s="440"/>
      <c r="K4" s="440"/>
      <c r="L4" s="165"/>
      <c r="M4" s="166"/>
      <c r="N4" s="163"/>
    </row>
    <row r="5" spans="2:16" ht="15" customHeight="1">
      <c r="B5" s="159"/>
      <c r="C5" s="164"/>
      <c r="D5" s="165"/>
      <c r="E5" s="440"/>
      <c r="F5" s="440"/>
      <c r="G5" s="440"/>
      <c r="H5" s="440"/>
      <c r="I5" s="440"/>
      <c r="J5" s="440"/>
      <c r="K5" s="440"/>
      <c r="L5" s="165"/>
      <c r="M5" s="166"/>
      <c r="N5" s="163"/>
    </row>
    <row r="6" spans="2:16" ht="15" customHeight="1" thickBot="1">
      <c r="B6" s="159"/>
      <c r="C6" s="167"/>
      <c r="D6" s="168"/>
      <c r="E6" s="441"/>
      <c r="F6" s="441"/>
      <c r="G6" s="441"/>
      <c r="H6" s="441"/>
      <c r="I6" s="441"/>
      <c r="J6" s="441"/>
      <c r="K6" s="441"/>
      <c r="L6" s="168"/>
      <c r="M6" s="169"/>
      <c r="N6" s="163"/>
    </row>
    <row r="7" spans="2:16" ht="15" customHeight="1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16" ht="15" customHeight="1">
      <c r="B8" s="159"/>
      <c r="C8" s="210" t="s">
        <v>0</v>
      </c>
      <c r="D8" s="444"/>
      <c r="E8" s="444"/>
      <c r="F8" s="444"/>
      <c r="G8" s="3"/>
      <c r="H8" s="157"/>
      <c r="I8" s="6" t="s">
        <v>155</v>
      </c>
      <c r="J8" s="442" t="s">
        <v>103</v>
      </c>
      <c r="K8" s="442"/>
      <c r="L8" s="442"/>
      <c r="M8" s="4"/>
      <c r="N8" s="163"/>
    </row>
    <row r="9" spans="2:16" ht="15" customHeight="1">
      <c r="B9" s="159"/>
      <c r="C9" s="211" t="s">
        <v>8</v>
      </c>
      <c r="D9" s="445"/>
      <c r="E9" s="445"/>
      <c r="F9" s="445"/>
      <c r="G9" s="1"/>
      <c r="I9" s="2" t="s">
        <v>12</v>
      </c>
      <c r="J9" s="443"/>
      <c r="K9" s="443"/>
      <c r="L9" s="443"/>
      <c r="M9" s="5"/>
      <c r="N9" s="163"/>
    </row>
    <row r="10" spans="2:16" ht="15" customHeight="1" thickBot="1">
      <c r="B10" s="159"/>
      <c r="C10" s="212" t="s">
        <v>1</v>
      </c>
      <c r="D10" s="446"/>
      <c r="E10" s="446"/>
      <c r="F10" s="446"/>
      <c r="G10" s="221"/>
      <c r="H10" s="180"/>
      <c r="I10" s="7" t="s">
        <v>11</v>
      </c>
      <c r="J10" s="226"/>
      <c r="K10" s="225" t="s">
        <v>102</v>
      </c>
      <c r="L10" s="225"/>
      <c r="M10" s="213"/>
      <c r="N10" s="163"/>
    </row>
    <row r="11" spans="2:16" ht="15" customHeight="1" thickBot="1">
      <c r="B11" s="159"/>
      <c r="C11" s="222"/>
      <c r="D11" s="222"/>
      <c r="E11" s="222"/>
      <c r="F11" s="1"/>
      <c r="G11" s="1"/>
      <c r="H11" s="1"/>
      <c r="I11" s="1"/>
      <c r="J11" s="1"/>
      <c r="K11" s="1"/>
      <c r="L11" s="1"/>
      <c r="M11" s="1"/>
      <c r="N11" s="163"/>
    </row>
    <row r="12" spans="2:16" ht="15" customHeight="1">
      <c r="B12" s="159"/>
      <c r="C12" s="451" t="s">
        <v>87</v>
      </c>
      <c r="D12" s="452"/>
      <c r="E12" s="452"/>
      <c r="F12" s="452"/>
      <c r="G12" s="452"/>
      <c r="H12" s="436"/>
      <c r="I12" s="436"/>
      <c r="J12" s="436"/>
      <c r="K12" s="436"/>
      <c r="L12" s="436"/>
      <c r="M12" s="437"/>
      <c r="N12" s="163"/>
    </row>
    <row r="13" spans="2:16" ht="15" customHeight="1">
      <c r="B13" s="159"/>
      <c r="C13" s="453" t="s">
        <v>101</v>
      </c>
      <c r="D13" s="454"/>
      <c r="E13" s="454"/>
      <c r="F13" s="454" t="s">
        <v>104</v>
      </c>
      <c r="G13" s="454"/>
      <c r="H13" s="429"/>
      <c r="I13" s="429"/>
      <c r="J13" s="429"/>
      <c r="K13" s="429"/>
      <c r="L13" s="429"/>
      <c r="M13" s="430"/>
      <c r="N13" s="163"/>
    </row>
    <row r="14" spans="2:16" ht="15" customHeight="1">
      <c r="B14" s="159"/>
      <c r="C14" s="449" t="s">
        <v>88</v>
      </c>
      <c r="D14" s="450"/>
      <c r="E14" s="450"/>
      <c r="F14" s="455" t="e">
        <f>Granulometría!F23</f>
        <v>#DIV/0!</v>
      </c>
      <c r="G14" s="455"/>
      <c r="H14" s="431"/>
      <c r="I14" s="431"/>
      <c r="J14" s="431"/>
      <c r="K14" s="431"/>
      <c r="L14" s="431"/>
      <c r="M14" s="432"/>
      <c r="N14" s="163"/>
    </row>
    <row r="15" spans="2:16" ht="15" customHeight="1">
      <c r="B15" s="186"/>
      <c r="C15" s="447" t="s">
        <v>89</v>
      </c>
      <c r="D15" s="448"/>
      <c r="E15" s="448"/>
      <c r="F15" s="435" t="e">
        <f>Granulometría!L23</f>
        <v>#DIV/0!</v>
      </c>
      <c r="G15" s="435"/>
      <c r="H15" s="438"/>
      <c r="I15" s="438"/>
      <c r="J15" s="433"/>
      <c r="K15" s="433"/>
      <c r="L15" s="433"/>
      <c r="M15" s="434"/>
      <c r="N15" s="163"/>
      <c r="P15" s="187"/>
    </row>
    <row r="16" spans="2:16" ht="15" customHeight="1">
      <c r="B16" s="186" t="s">
        <v>103</v>
      </c>
      <c r="C16" s="447" t="s">
        <v>90</v>
      </c>
      <c r="D16" s="448"/>
      <c r="E16" s="448"/>
      <c r="F16" s="427" t="e">
        <f>Granulometría!L27</f>
        <v>#DIV/0!</v>
      </c>
      <c r="G16" s="427"/>
      <c r="H16" s="422"/>
      <c r="I16" s="422"/>
      <c r="J16" s="419"/>
      <c r="K16" s="419"/>
      <c r="L16" s="419"/>
      <c r="M16" s="420"/>
      <c r="N16" s="163"/>
    </row>
    <row r="17" spans="2:14" ht="15" customHeight="1">
      <c r="B17" s="186" t="s">
        <v>103</v>
      </c>
      <c r="C17" s="447" t="s">
        <v>91</v>
      </c>
      <c r="D17" s="448"/>
      <c r="E17" s="448"/>
      <c r="F17" s="427" t="e">
        <f>Granulometría!L30</f>
        <v>#DIV/0!</v>
      </c>
      <c r="G17" s="427"/>
      <c r="H17" s="422"/>
      <c r="I17" s="422"/>
      <c r="J17" s="419"/>
      <c r="K17" s="419"/>
      <c r="L17" s="419"/>
      <c r="M17" s="420"/>
      <c r="N17" s="163"/>
    </row>
    <row r="18" spans="2:14" ht="15" customHeight="1">
      <c r="B18" s="186"/>
      <c r="C18" s="447" t="s">
        <v>92</v>
      </c>
      <c r="D18" s="448"/>
      <c r="E18" s="448"/>
      <c r="F18" s="427" t="e">
        <f>Granulometría!L32</f>
        <v>#DIV/0!</v>
      </c>
      <c r="G18" s="427"/>
      <c r="H18" s="422"/>
      <c r="I18" s="422"/>
      <c r="J18" s="419"/>
      <c r="K18" s="419"/>
      <c r="L18" s="419"/>
      <c r="M18" s="420"/>
      <c r="N18" s="163"/>
    </row>
    <row r="19" spans="2:14" ht="15" customHeight="1">
      <c r="B19" s="186" t="s">
        <v>103</v>
      </c>
      <c r="C19" s="423" t="s">
        <v>93</v>
      </c>
      <c r="D19" s="424"/>
      <c r="E19" s="424"/>
      <c r="F19" s="427" t="e">
        <f>Granulometría!L33</f>
        <v>#DIV/0!</v>
      </c>
      <c r="G19" s="427"/>
      <c r="H19" s="422"/>
      <c r="I19" s="422"/>
      <c r="J19" s="419"/>
      <c r="K19" s="419"/>
      <c r="L19" s="419"/>
      <c r="M19" s="420"/>
      <c r="N19" s="163"/>
    </row>
    <row r="20" spans="2:14" ht="15" customHeight="1">
      <c r="B20" s="186" t="s">
        <v>103</v>
      </c>
      <c r="C20" s="423" t="s">
        <v>94</v>
      </c>
      <c r="D20" s="424"/>
      <c r="E20" s="424"/>
      <c r="F20" s="427" t="e">
        <f>Granulometría!L34</f>
        <v>#DIV/0!</v>
      </c>
      <c r="G20" s="427"/>
      <c r="H20" s="422"/>
      <c r="I20" s="422"/>
      <c r="J20" s="419"/>
      <c r="K20" s="419"/>
      <c r="L20" s="419"/>
      <c r="M20" s="420"/>
      <c r="N20" s="163"/>
    </row>
    <row r="21" spans="2:14" ht="15" customHeight="1">
      <c r="B21" s="186" t="s">
        <v>103</v>
      </c>
      <c r="C21" s="423" t="s">
        <v>95</v>
      </c>
      <c r="D21" s="424"/>
      <c r="E21" s="424"/>
      <c r="F21" s="427" t="e">
        <f>Granulometría!L35</f>
        <v>#DIV/0!</v>
      </c>
      <c r="G21" s="427"/>
      <c r="H21" s="422"/>
      <c r="I21" s="422"/>
      <c r="J21" s="419"/>
      <c r="K21" s="419"/>
      <c r="L21" s="419"/>
      <c r="M21" s="420"/>
      <c r="N21" s="163"/>
    </row>
    <row r="22" spans="2:14" ht="15" customHeight="1">
      <c r="B22" s="186" t="s">
        <v>103</v>
      </c>
      <c r="C22" s="423" t="s">
        <v>97</v>
      </c>
      <c r="D22" s="424"/>
      <c r="E22" s="424"/>
      <c r="F22" s="428" t="e">
        <f>Límites!N28</f>
        <v>#VALUE!</v>
      </c>
      <c r="G22" s="428"/>
      <c r="H22" s="422"/>
      <c r="I22" s="422"/>
      <c r="J22" s="419"/>
      <c r="K22" s="419"/>
      <c r="L22" s="419"/>
      <c r="M22" s="420"/>
      <c r="N22" s="163"/>
    </row>
    <row r="23" spans="2:14" ht="15" customHeight="1">
      <c r="B23" s="186" t="s">
        <v>103</v>
      </c>
      <c r="C23" s="423" t="s">
        <v>96</v>
      </c>
      <c r="D23" s="424"/>
      <c r="E23" s="424"/>
      <c r="F23" s="428" t="e">
        <f>Límites!N29</f>
        <v>#N/A</v>
      </c>
      <c r="G23" s="428"/>
      <c r="H23" s="422"/>
      <c r="I23" s="422"/>
      <c r="J23" s="419"/>
      <c r="K23" s="419"/>
      <c r="L23" s="419"/>
      <c r="M23" s="420"/>
      <c r="N23" s="163"/>
    </row>
    <row r="24" spans="2:14" ht="15" customHeight="1">
      <c r="B24" s="186" t="s">
        <v>103</v>
      </c>
      <c r="C24" s="423" t="s">
        <v>98</v>
      </c>
      <c r="D24" s="424"/>
      <c r="E24" s="424"/>
      <c r="F24" s="428" t="e">
        <f>Límites!N30</f>
        <v>#VALUE!</v>
      </c>
      <c r="G24" s="428"/>
      <c r="H24" s="422"/>
      <c r="I24" s="422"/>
      <c r="J24" s="419"/>
      <c r="K24" s="419"/>
      <c r="L24" s="419"/>
      <c r="M24" s="420"/>
      <c r="N24" s="163"/>
    </row>
    <row r="25" spans="2:14" ht="15" customHeight="1">
      <c r="B25" s="186"/>
      <c r="C25" s="423" t="s">
        <v>150</v>
      </c>
      <c r="D25" s="424"/>
      <c r="E25" s="424"/>
      <c r="F25" s="428" t="str">
        <f>Límites!N31</f>
        <v>N/A</v>
      </c>
      <c r="G25" s="428"/>
      <c r="H25" s="422"/>
      <c r="I25" s="422"/>
      <c r="J25" s="419"/>
      <c r="K25" s="419"/>
      <c r="L25" s="419"/>
      <c r="M25" s="420"/>
      <c r="N25" s="163"/>
    </row>
    <row r="26" spans="2:14" ht="15" customHeight="1">
      <c r="B26" s="186"/>
      <c r="C26" s="423" t="s">
        <v>112</v>
      </c>
      <c r="D26" s="424"/>
      <c r="E26" s="424"/>
      <c r="F26" s="428">
        <f>Gs!L42</f>
        <v>0</v>
      </c>
      <c r="G26" s="428"/>
      <c r="H26" s="422"/>
      <c r="I26" s="422"/>
      <c r="J26" s="419"/>
      <c r="K26" s="419"/>
      <c r="L26" s="419"/>
      <c r="M26" s="420"/>
      <c r="N26" s="163"/>
    </row>
    <row r="27" spans="2:14" ht="15" customHeight="1">
      <c r="B27" s="186" t="s">
        <v>103</v>
      </c>
      <c r="C27" s="423" t="s">
        <v>99</v>
      </c>
      <c r="D27" s="424"/>
      <c r="E27" s="424"/>
      <c r="F27" s="426" t="e">
        <f>'w%'!L7</f>
        <v>#N/A</v>
      </c>
      <c r="G27" s="426"/>
      <c r="H27" s="422"/>
      <c r="I27" s="422"/>
      <c r="J27" s="419"/>
      <c r="K27" s="419"/>
      <c r="L27" s="419"/>
      <c r="M27" s="420"/>
      <c r="N27" s="163"/>
    </row>
    <row r="28" spans="2:14" ht="15" customHeight="1">
      <c r="B28" s="186" t="s">
        <v>103</v>
      </c>
      <c r="C28" s="423" t="s">
        <v>100</v>
      </c>
      <c r="D28" s="424"/>
      <c r="E28" s="425"/>
      <c r="F28" s="412" t="e">
        <f>Granulometría!F33</f>
        <v>#DIV/0!</v>
      </c>
      <c r="G28" s="413" t="e">
        <f>Granulometría!G33</f>
        <v>#DIV/0!</v>
      </c>
      <c r="H28" s="421"/>
      <c r="I28" s="422"/>
      <c r="J28" s="419"/>
      <c r="K28" s="419"/>
      <c r="L28" s="419"/>
      <c r="M28" s="420"/>
      <c r="N28" s="163"/>
    </row>
    <row r="29" spans="2:14" ht="15" customHeight="1" thickBot="1">
      <c r="B29" s="179"/>
      <c r="C29" s="188"/>
      <c r="D29" s="188"/>
      <c r="E29" s="189"/>
      <c r="F29" s="189"/>
      <c r="G29" s="189"/>
      <c r="H29" s="190"/>
      <c r="I29" s="191"/>
      <c r="J29" s="191"/>
      <c r="K29" s="191"/>
      <c r="L29" s="191"/>
      <c r="M29" s="192"/>
      <c r="N29" s="182"/>
    </row>
  </sheetData>
  <mergeCells count="87">
    <mergeCell ref="D10:F10"/>
    <mergeCell ref="C24:E24"/>
    <mergeCell ref="C18:E18"/>
    <mergeCell ref="C17:E17"/>
    <mergeCell ref="C14:E14"/>
    <mergeCell ref="C15:E15"/>
    <mergeCell ref="C16:E16"/>
    <mergeCell ref="C19:E19"/>
    <mergeCell ref="C20:E20"/>
    <mergeCell ref="C21:E21"/>
    <mergeCell ref="C22:E22"/>
    <mergeCell ref="C23:E23"/>
    <mergeCell ref="C12:G12"/>
    <mergeCell ref="C13:E13"/>
    <mergeCell ref="F13:G13"/>
    <mergeCell ref="F14:G14"/>
    <mergeCell ref="E3:K6"/>
    <mergeCell ref="J8:L8"/>
    <mergeCell ref="J9:L9"/>
    <mergeCell ref="D8:F8"/>
    <mergeCell ref="D9:F9"/>
    <mergeCell ref="F15:G15"/>
    <mergeCell ref="H12:M12"/>
    <mergeCell ref="H14:I14"/>
    <mergeCell ref="H15:I15"/>
    <mergeCell ref="H16:I16"/>
    <mergeCell ref="F16:G16"/>
    <mergeCell ref="H17:I17"/>
    <mergeCell ref="L13:M13"/>
    <mergeCell ref="L14:M14"/>
    <mergeCell ref="L15:M15"/>
    <mergeCell ref="L16:M16"/>
    <mergeCell ref="L17:M17"/>
    <mergeCell ref="J17:K17"/>
    <mergeCell ref="J13:K13"/>
    <mergeCell ref="J14:K14"/>
    <mergeCell ref="J15:K15"/>
    <mergeCell ref="J16:K16"/>
    <mergeCell ref="H13:I13"/>
    <mergeCell ref="H18:I18"/>
    <mergeCell ref="H19:I19"/>
    <mergeCell ref="H20:I20"/>
    <mergeCell ref="H21:I21"/>
    <mergeCell ref="L25:M25"/>
    <mergeCell ref="J22:K22"/>
    <mergeCell ref="J21:K21"/>
    <mergeCell ref="L18:M18"/>
    <mergeCell ref="L19:M19"/>
    <mergeCell ref="J18:K18"/>
    <mergeCell ref="J19:K19"/>
    <mergeCell ref="J20:K20"/>
    <mergeCell ref="H23:I23"/>
    <mergeCell ref="H24:I24"/>
    <mergeCell ref="H22:I22"/>
    <mergeCell ref="F17:G17"/>
    <mergeCell ref="F18:G18"/>
    <mergeCell ref="F19:G19"/>
    <mergeCell ref="F20:G20"/>
    <mergeCell ref="C26:E26"/>
    <mergeCell ref="F26:G26"/>
    <mergeCell ref="C25:E25"/>
    <mergeCell ref="F25:G25"/>
    <mergeCell ref="F21:G21"/>
    <mergeCell ref="F23:G23"/>
    <mergeCell ref="F24:G24"/>
    <mergeCell ref="F22:G22"/>
    <mergeCell ref="H26:I26"/>
    <mergeCell ref="L20:M20"/>
    <mergeCell ref="L21:M21"/>
    <mergeCell ref="L22:M22"/>
    <mergeCell ref="L23:M23"/>
    <mergeCell ref="L24:M24"/>
    <mergeCell ref="J23:K23"/>
    <mergeCell ref="J24:K24"/>
    <mergeCell ref="J26:K26"/>
    <mergeCell ref="L26:M26"/>
    <mergeCell ref="H25:I25"/>
    <mergeCell ref="J25:K25"/>
    <mergeCell ref="L28:M28"/>
    <mergeCell ref="H28:I28"/>
    <mergeCell ref="C28:E28"/>
    <mergeCell ref="L27:M27"/>
    <mergeCell ref="J28:K28"/>
    <mergeCell ref="J27:K27"/>
    <mergeCell ref="F27:G27"/>
    <mergeCell ref="C27:E27"/>
    <mergeCell ref="H27:I27"/>
  </mergeCells>
  <printOptions horizontalCentered="1" verticalCentered="1"/>
  <pageMargins left="0.54500000000000004" right="0" top="0" bottom="0" header="0" footer="0"/>
  <pageSetup paperSize="9" scale="96" orientation="landscape" horizontalDpi="4294967293" verticalDpi="4294967293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90"/>
  <sheetViews>
    <sheetView showGridLines="0" view="pageBreakPreview" zoomScale="175" zoomScaleNormal="100" zoomScaleSheetLayoutView="175" workbookViewId="0">
      <selection activeCell="M7" sqref="M7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60" t="s">
        <v>58</v>
      </c>
      <c r="D3" s="461"/>
      <c r="E3" s="461"/>
      <c r="F3" s="461"/>
      <c r="G3" s="461"/>
      <c r="H3" s="461"/>
      <c r="I3" s="461"/>
      <c r="J3" s="461"/>
      <c r="K3" s="461"/>
      <c r="L3" s="462"/>
      <c r="M3" s="194" t="s">
        <v>0</v>
      </c>
      <c r="N3" s="223">
        <f>Datos!D8</f>
        <v>0</v>
      </c>
      <c r="O3" s="223"/>
      <c r="P3" s="223"/>
      <c r="Q3" s="195"/>
      <c r="R3" s="158"/>
      <c r="S3" s="163"/>
    </row>
    <row r="4" spans="2:24" ht="15" customHeight="1">
      <c r="B4" s="159"/>
      <c r="C4" s="463" t="s">
        <v>9</v>
      </c>
      <c r="D4" s="464"/>
      <c r="E4" s="465" t="s">
        <v>59</v>
      </c>
      <c r="F4" s="464"/>
      <c r="G4" s="245" t="s">
        <v>48</v>
      </c>
      <c r="H4" s="466" t="s">
        <v>60</v>
      </c>
      <c r="I4" s="467"/>
      <c r="J4" s="468" t="s">
        <v>61</v>
      </c>
      <c r="K4" s="469"/>
      <c r="L4" s="267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56"/>
      <c r="V4" s="456"/>
      <c r="W4" s="456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70">
        <f>Datos!D10</f>
        <v>0</v>
      </c>
      <c r="O5" s="470"/>
      <c r="P5" s="470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57" t="s">
        <v>69</v>
      </c>
      <c r="N6" s="458"/>
      <c r="O6" s="458"/>
      <c r="P6" s="458"/>
      <c r="Q6" s="458"/>
      <c r="R6" s="459"/>
      <c r="S6" s="163"/>
    </row>
    <row r="7" spans="2:24" ht="15" customHeight="1">
      <c r="B7" s="186"/>
      <c r="C7" s="252" t="str">
        <f>Datos!J8</f>
        <v/>
      </c>
      <c r="D7" s="253">
        <f>Datos!J9</f>
        <v>0</v>
      </c>
      <c r="E7" s="254">
        <f>Datos!J10</f>
        <v>0</v>
      </c>
      <c r="F7" s="255">
        <f>Datos!L10</f>
        <v>0</v>
      </c>
      <c r="G7" s="256"/>
      <c r="H7" s="256"/>
      <c r="I7" s="257" t="e">
        <f>LOOKUP(H7,AA91:AB290)</f>
        <v>#N/A</v>
      </c>
      <c r="J7" s="257"/>
      <c r="K7" s="257"/>
      <c r="L7" s="268" t="e">
        <f>((J7-K7)/(K7-I7)*100)</f>
        <v>#N/A</v>
      </c>
      <c r="M7" s="241"/>
      <c r="N7" s="202"/>
      <c r="O7" s="202"/>
      <c r="P7" s="202"/>
      <c r="Q7" s="202"/>
      <c r="R7" s="203"/>
      <c r="S7" s="163"/>
      <c r="U7" s="456"/>
      <c r="V7" s="456"/>
      <c r="W7" s="456"/>
      <c r="X7" s="456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90" spans="27:28" ht="15" customHeight="1">
      <c r="AA90" s="242" t="s">
        <v>153</v>
      </c>
      <c r="AB90" s="242" t="s">
        <v>154</v>
      </c>
    </row>
    <row r="91" spans="27:28" ht="15" customHeight="1">
      <c r="AA91" s="242">
        <v>1</v>
      </c>
      <c r="AB91" s="242">
        <v>12.62</v>
      </c>
    </row>
    <row r="92" spans="27:28" ht="15" customHeight="1">
      <c r="AA92" s="242">
        <v>2</v>
      </c>
      <c r="AB92" s="242">
        <v>13.11</v>
      </c>
    </row>
    <row r="93" spans="27:28" ht="15" customHeight="1">
      <c r="AA93" s="242">
        <v>3</v>
      </c>
      <c r="AB93" s="242">
        <v>12.88</v>
      </c>
    </row>
    <row r="94" spans="27:28" ht="15" customHeight="1">
      <c r="AA94" s="242">
        <v>4</v>
      </c>
      <c r="AB94" s="242">
        <v>12.87</v>
      </c>
    </row>
    <row r="95" spans="27:28" ht="15" customHeight="1">
      <c r="AA95" s="242">
        <v>5</v>
      </c>
      <c r="AB95" s="242">
        <v>12.97</v>
      </c>
    </row>
    <row r="96" spans="27:28" ht="15" customHeight="1">
      <c r="AA96" s="242">
        <v>6</v>
      </c>
      <c r="AB96" s="242">
        <v>13.2</v>
      </c>
    </row>
    <row r="97" spans="27:28" ht="15" customHeight="1">
      <c r="AA97" s="242">
        <v>7</v>
      </c>
      <c r="AB97" s="242">
        <v>12.73</v>
      </c>
    </row>
    <row r="98" spans="27:28" ht="15" customHeight="1">
      <c r="AA98" s="242">
        <v>8</v>
      </c>
      <c r="AB98" s="242">
        <v>13.2</v>
      </c>
    </row>
    <row r="99" spans="27:28" ht="15" customHeight="1">
      <c r="AA99" s="242">
        <v>9</v>
      </c>
      <c r="AB99" s="242">
        <v>13.22</v>
      </c>
    </row>
    <row r="100" spans="27:28" ht="15" customHeight="1">
      <c r="AA100" s="242">
        <v>10</v>
      </c>
      <c r="AB100" s="242">
        <v>13.33</v>
      </c>
    </row>
    <row r="101" spans="27:28" ht="15" customHeight="1">
      <c r="AA101" s="242">
        <v>11</v>
      </c>
      <c r="AB101" s="242">
        <v>10.97</v>
      </c>
    </row>
    <row r="102" spans="27:28" ht="15" customHeight="1">
      <c r="AA102" s="242">
        <v>12</v>
      </c>
      <c r="AB102" s="242">
        <v>11.1</v>
      </c>
    </row>
    <row r="103" spans="27:28" ht="15" customHeight="1">
      <c r="AA103" s="242">
        <v>13</v>
      </c>
      <c r="AB103" s="242">
        <v>11.07</v>
      </c>
    </row>
    <row r="104" spans="27:28" ht="15" customHeight="1">
      <c r="AA104" s="242">
        <v>14</v>
      </c>
      <c r="AB104" s="242">
        <v>13.03</v>
      </c>
    </row>
    <row r="105" spans="27:28" ht="15" customHeight="1">
      <c r="AA105" s="242">
        <v>15</v>
      </c>
      <c r="AB105" s="242">
        <v>12.86</v>
      </c>
    </row>
    <row r="106" spans="27:28" ht="15" customHeight="1">
      <c r="AA106" s="242">
        <v>16</v>
      </c>
      <c r="AB106" s="242">
        <v>13</v>
      </c>
    </row>
    <row r="107" spans="27:28" ht="15" customHeight="1">
      <c r="AA107" s="242">
        <v>17</v>
      </c>
      <c r="AB107" s="242">
        <v>12.91</v>
      </c>
    </row>
    <row r="108" spans="27:28" ht="15" customHeight="1">
      <c r="AA108" s="242">
        <v>18</v>
      </c>
      <c r="AB108" s="242">
        <v>13.02</v>
      </c>
    </row>
    <row r="109" spans="27:28" ht="15" customHeight="1">
      <c r="AA109" s="242">
        <v>19</v>
      </c>
      <c r="AB109" s="242">
        <v>13.21</v>
      </c>
    </row>
    <row r="110" spans="27:28" ht="15" customHeight="1">
      <c r="AA110" s="242">
        <v>20</v>
      </c>
      <c r="AB110" s="242">
        <v>12.99</v>
      </c>
    </row>
    <row r="111" spans="27:28" ht="15" customHeight="1">
      <c r="AA111" s="242">
        <v>21</v>
      </c>
      <c r="AB111" s="242">
        <v>11</v>
      </c>
    </row>
    <row r="112" spans="27:28" ht="15" customHeight="1">
      <c r="AA112" s="242">
        <v>22</v>
      </c>
      <c r="AB112" s="242">
        <v>10.67</v>
      </c>
    </row>
    <row r="113" spans="27:28" ht="15" customHeight="1">
      <c r="AA113" s="242">
        <v>23</v>
      </c>
      <c r="AB113" s="242">
        <v>10.94</v>
      </c>
    </row>
    <row r="114" spans="27:28" ht="15" customHeight="1">
      <c r="AA114" s="242">
        <v>24</v>
      </c>
      <c r="AB114" s="242">
        <v>10.83</v>
      </c>
    </row>
    <row r="115" spans="27:28" ht="15" customHeight="1">
      <c r="AA115" s="242">
        <v>25</v>
      </c>
      <c r="AB115" s="242">
        <v>10.95</v>
      </c>
    </row>
    <row r="116" spans="27:28" ht="15" customHeight="1">
      <c r="AA116" s="242">
        <v>26</v>
      </c>
      <c r="AB116" s="242">
        <v>10.54</v>
      </c>
    </row>
    <row r="117" spans="27:28" ht="15" customHeight="1">
      <c r="AA117" s="242">
        <v>27</v>
      </c>
      <c r="AB117" s="242">
        <v>10.69</v>
      </c>
    </row>
    <row r="118" spans="27:28" ht="15" customHeight="1">
      <c r="AA118" s="242">
        <v>28</v>
      </c>
      <c r="AB118" s="242">
        <v>12.86</v>
      </c>
    </row>
    <row r="119" spans="27:28" ht="15" customHeight="1">
      <c r="AA119" s="242">
        <v>29</v>
      </c>
      <c r="AB119" s="242">
        <v>13.25</v>
      </c>
    </row>
    <row r="120" spans="27:28" ht="15" customHeight="1">
      <c r="AA120" s="242">
        <v>30</v>
      </c>
      <c r="AB120" s="242">
        <v>13.03</v>
      </c>
    </row>
    <row r="121" spans="27:28" ht="15" customHeight="1">
      <c r="AA121" s="242">
        <v>31</v>
      </c>
      <c r="AB121" s="242">
        <v>10.98</v>
      </c>
    </row>
    <row r="122" spans="27:28" ht="15" customHeight="1">
      <c r="AA122" s="242">
        <v>32</v>
      </c>
      <c r="AB122" s="242">
        <v>11.15</v>
      </c>
    </row>
    <row r="123" spans="27:28" ht="15" customHeight="1">
      <c r="AA123" s="242">
        <v>33</v>
      </c>
      <c r="AB123" s="242">
        <v>12.83</v>
      </c>
    </row>
    <row r="124" spans="27:28" ht="15" customHeight="1">
      <c r="AA124" s="242">
        <v>34</v>
      </c>
      <c r="AB124" s="242">
        <v>13.27</v>
      </c>
    </row>
    <row r="125" spans="27:28" ht="15" customHeight="1">
      <c r="AA125" s="242">
        <v>35</v>
      </c>
      <c r="AB125" s="242">
        <v>12.63</v>
      </c>
    </row>
    <row r="126" spans="27:28" ht="15" customHeight="1">
      <c r="AA126" s="242">
        <v>36</v>
      </c>
      <c r="AB126" s="242">
        <v>12.7</v>
      </c>
    </row>
    <row r="127" spans="27:28" ht="15" customHeight="1">
      <c r="AA127" s="242">
        <v>37</v>
      </c>
      <c r="AB127" s="242">
        <v>13.07</v>
      </c>
    </row>
    <row r="128" spans="27:28" ht="15" customHeight="1">
      <c r="AA128" s="242">
        <v>38</v>
      </c>
      <c r="AB128" s="242">
        <v>12.93</v>
      </c>
    </row>
    <row r="129" spans="27:28" ht="15" customHeight="1">
      <c r="AA129" s="242">
        <v>39</v>
      </c>
      <c r="AB129" s="242">
        <v>13</v>
      </c>
    </row>
    <row r="130" spans="27:28" ht="15" customHeight="1">
      <c r="AA130" s="242">
        <v>40</v>
      </c>
      <c r="AB130" s="242">
        <v>13</v>
      </c>
    </row>
    <row r="131" spans="27:28" ht="15" customHeight="1">
      <c r="AA131" s="242">
        <v>41</v>
      </c>
      <c r="AB131" s="242">
        <v>13</v>
      </c>
    </row>
    <row r="132" spans="27:28" ht="15" customHeight="1">
      <c r="AA132" s="242">
        <v>42</v>
      </c>
      <c r="AB132" s="242">
        <v>10.86</v>
      </c>
    </row>
    <row r="133" spans="27:28" ht="15" customHeight="1">
      <c r="AA133" s="242">
        <v>43</v>
      </c>
      <c r="AB133" s="242">
        <v>12.76</v>
      </c>
    </row>
    <row r="134" spans="27:28" ht="15" customHeight="1">
      <c r="AA134" s="242">
        <v>44</v>
      </c>
      <c r="AB134" s="242">
        <v>13.11</v>
      </c>
    </row>
    <row r="135" spans="27:28" ht="15" customHeight="1">
      <c r="AA135" s="242">
        <v>45</v>
      </c>
      <c r="AB135" s="242">
        <v>11.95</v>
      </c>
    </row>
    <row r="136" spans="27:28" ht="15" customHeight="1">
      <c r="AA136" s="242">
        <v>46</v>
      </c>
      <c r="AB136" s="242">
        <v>13.15</v>
      </c>
    </row>
    <row r="137" spans="27:28" ht="15" customHeight="1">
      <c r="AA137" s="242">
        <v>47</v>
      </c>
      <c r="AB137" s="242">
        <v>12.13</v>
      </c>
    </row>
    <row r="138" spans="27:28" ht="15" customHeight="1">
      <c r="AA138" s="242">
        <v>48</v>
      </c>
      <c r="AB138" s="242">
        <v>12.84</v>
      </c>
    </row>
    <row r="139" spans="27:28" ht="15" customHeight="1">
      <c r="AA139" s="242">
        <v>49</v>
      </c>
      <c r="AB139" s="242">
        <v>13.2</v>
      </c>
    </row>
    <row r="140" spans="27:28" ht="15" customHeight="1">
      <c r="AA140" s="242">
        <v>50</v>
      </c>
      <c r="AB140" s="242">
        <v>11.69</v>
      </c>
    </row>
    <row r="141" spans="27:28" ht="15" customHeight="1">
      <c r="AA141" s="242">
        <v>51</v>
      </c>
      <c r="AB141" s="242">
        <v>13.2</v>
      </c>
    </row>
    <row r="142" spans="27:28" ht="15" customHeight="1">
      <c r="AA142" s="242">
        <v>52</v>
      </c>
      <c r="AB142" s="242">
        <v>12.78</v>
      </c>
    </row>
    <row r="143" spans="27:28" ht="15" customHeight="1">
      <c r="AA143" s="242">
        <v>53</v>
      </c>
      <c r="AB143" s="242">
        <v>13.12</v>
      </c>
    </row>
    <row r="144" spans="27:28" ht="15" customHeight="1">
      <c r="AA144" s="242">
        <v>54</v>
      </c>
      <c r="AB144" s="242">
        <v>13.14</v>
      </c>
    </row>
    <row r="145" spans="27:28" ht="15" customHeight="1">
      <c r="AA145" s="242">
        <v>55</v>
      </c>
      <c r="AB145" s="242">
        <v>10.61</v>
      </c>
    </row>
    <row r="146" spans="27:28" ht="15" customHeight="1">
      <c r="AA146" s="242">
        <v>56</v>
      </c>
      <c r="AB146" s="242">
        <v>10.67</v>
      </c>
    </row>
    <row r="147" spans="27:28" ht="15" customHeight="1">
      <c r="AA147" s="242">
        <v>57</v>
      </c>
      <c r="AB147" s="242">
        <v>11.65</v>
      </c>
    </row>
    <row r="148" spans="27:28" ht="15" customHeight="1">
      <c r="AA148" s="242">
        <v>58</v>
      </c>
      <c r="AB148" s="242">
        <v>12.92</v>
      </c>
    </row>
    <row r="149" spans="27:28" ht="15" customHeight="1">
      <c r="AA149" s="242">
        <v>59</v>
      </c>
      <c r="AB149" s="242">
        <v>12.85</v>
      </c>
    </row>
    <row r="150" spans="27:28" ht="15" customHeight="1">
      <c r="AA150" s="242">
        <v>60</v>
      </c>
      <c r="AB150" s="242">
        <v>11.07</v>
      </c>
    </row>
    <row r="151" spans="27:28" ht="15" customHeight="1">
      <c r="AA151" s="242">
        <v>61</v>
      </c>
      <c r="AB151" s="242">
        <v>11.04</v>
      </c>
    </row>
    <row r="152" spans="27:28" ht="15" customHeight="1">
      <c r="AA152" s="242">
        <v>62</v>
      </c>
      <c r="AB152" s="242">
        <v>11.04</v>
      </c>
    </row>
    <row r="153" spans="27:28" ht="15" customHeight="1">
      <c r="AA153" s="242">
        <v>63</v>
      </c>
      <c r="AB153" s="242">
        <v>12.95</v>
      </c>
    </row>
    <row r="154" spans="27:28" ht="15" customHeight="1">
      <c r="AA154" s="242">
        <v>64</v>
      </c>
      <c r="AB154" s="242">
        <v>13.03</v>
      </c>
    </row>
    <row r="155" spans="27:28" ht="15" customHeight="1">
      <c r="AA155" s="242">
        <v>65</v>
      </c>
      <c r="AB155" s="242">
        <v>13</v>
      </c>
    </row>
    <row r="156" spans="27:28" ht="15" customHeight="1">
      <c r="AA156" s="242">
        <v>66</v>
      </c>
      <c r="AB156" s="242">
        <v>10.98</v>
      </c>
    </row>
    <row r="157" spans="27:28" ht="15" customHeight="1">
      <c r="AA157" s="242">
        <v>67</v>
      </c>
      <c r="AB157" s="242">
        <v>13.09</v>
      </c>
    </row>
    <row r="158" spans="27:28" ht="15" customHeight="1">
      <c r="AA158" s="242">
        <v>68</v>
      </c>
      <c r="AB158" s="242">
        <v>12.79</v>
      </c>
    </row>
    <row r="159" spans="27:28" ht="15" customHeight="1">
      <c r="AA159" s="242">
        <v>69</v>
      </c>
      <c r="AB159" s="242">
        <v>11.05</v>
      </c>
    </row>
    <row r="160" spans="27:28" ht="15" customHeight="1">
      <c r="AA160" s="242">
        <v>70</v>
      </c>
      <c r="AB160" s="242">
        <v>11</v>
      </c>
    </row>
    <row r="161" spans="27:28" ht="15" customHeight="1">
      <c r="AA161" s="242">
        <v>71</v>
      </c>
      <c r="AB161" s="242">
        <v>13.1</v>
      </c>
    </row>
    <row r="162" spans="27:28" ht="15" customHeight="1">
      <c r="AA162" s="242">
        <v>72</v>
      </c>
      <c r="AB162" s="242">
        <v>12.99</v>
      </c>
    </row>
    <row r="163" spans="27:28" ht="15" customHeight="1">
      <c r="AA163" s="242">
        <v>73</v>
      </c>
      <c r="AB163" s="242">
        <v>13.05</v>
      </c>
    </row>
    <row r="164" spans="27:28" ht="15" customHeight="1">
      <c r="AA164" s="242">
        <v>74</v>
      </c>
      <c r="AB164" s="242">
        <v>13.04</v>
      </c>
    </row>
    <row r="165" spans="27:28" ht="15" customHeight="1">
      <c r="AA165" s="242">
        <v>75</v>
      </c>
      <c r="AB165" s="242">
        <v>13.12</v>
      </c>
    </row>
    <row r="166" spans="27:28" ht="15" customHeight="1">
      <c r="AA166" s="242">
        <v>76</v>
      </c>
      <c r="AB166" s="242">
        <v>12.95</v>
      </c>
    </row>
    <row r="167" spans="27:28" ht="15" customHeight="1">
      <c r="AA167" s="242">
        <v>77</v>
      </c>
      <c r="AB167" s="242">
        <v>12.78</v>
      </c>
    </row>
    <row r="168" spans="27:28" ht="15" customHeight="1">
      <c r="AA168" s="242">
        <v>78</v>
      </c>
      <c r="AB168" s="242">
        <v>13.21</v>
      </c>
    </row>
    <row r="169" spans="27:28" ht="15" customHeight="1">
      <c r="AA169" s="242">
        <v>79</v>
      </c>
      <c r="AB169" s="242">
        <v>13</v>
      </c>
    </row>
    <row r="170" spans="27:28" ht="15" customHeight="1">
      <c r="AA170" s="242">
        <v>80</v>
      </c>
      <c r="AB170" s="242">
        <v>12.99</v>
      </c>
    </row>
    <row r="171" spans="27:28" ht="15" customHeight="1">
      <c r="AA171" s="242">
        <v>81</v>
      </c>
      <c r="AB171" s="242">
        <v>12.9</v>
      </c>
    </row>
    <row r="172" spans="27:28" ht="15" customHeight="1">
      <c r="AA172" s="242">
        <v>82</v>
      </c>
      <c r="AB172" s="242">
        <v>11.96</v>
      </c>
    </row>
    <row r="173" spans="27:28" ht="15" customHeight="1">
      <c r="AA173" s="242">
        <v>83</v>
      </c>
      <c r="AB173" s="242">
        <v>12.7</v>
      </c>
    </row>
    <row r="174" spans="27:28" ht="15" customHeight="1">
      <c r="AA174" s="242">
        <v>84</v>
      </c>
      <c r="AB174" s="242">
        <v>10.81</v>
      </c>
    </row>
    <row r="175" spans="27:28" ht="15" customHeight="1">
      <c r="AA175" s="242">
        <v>85</v>
      </c>
      <c r="AB175" s="242">
        <v>12.94</v>
      </c>
    </row>
    <row r="176" spans="27:28" ht="15" customHeight="1">
      <c r="AA176" s="242">
        <v>86</v>
      </c>
      <c r="AB176" s="242">
        <v>10.9</v>
      </c>
    </row>
    <row r="177" spans="27:28" ht="15" customHeight="1">
      <c r="AA177" s="242">
        <v>87</v>
      </c>
      <c r="AB177" s="242">
        <v>11.01</v>
      </c>
    </row>
    <row r="178" spans="27:28" ht="15" customHeight="1">
      <c r="AA178" s="242">
        <v>88</v>
      </c>
      <c r="AB178" s="242">
        <v>11.01</v>
      </c>
    </row>
    <row r="179" spans="27:28" ht="15" customHeight="1">
      <c r="AA179" s="242">
        <v>89</v>
      </c>
      <c r="AB179" s="242">
        <v>11.06</v>
      </c>
    </row>
    <row r="180" spans="27:28" ht="15" customHeight="1">
      <c r="AA180" s="242">
        <v>90</v>
      </c>
      <c r="AB180" s="242">
        <v>11</v>
      </c>
    </row>
    <row r="181" spans="27:28" ht="15" customHeight="1">
      <c r="AA181" s="242">
        <v>91</v>
      </c>
      <c r="AB181" s="242">
        <v>13.09</v>
      </c>
    </row>
    <row r="182" spans="27:28" ht="15" customHeight="1">
      <c r="AA182" s="242">
        <v>92</v>
      </c>
      <c r="AB182" s="242">
        <v>13.02</v>
      </c>
    </row>
    <row r="183" spans="27:28" ht="15" customHeight="1">
      <c r="AA183" s="242">
        <v>93</v>
      </c>
      <c r="AB183" s="242">
        <v>12.65</v>
      </c>
    </row>
    <row r="184" spans="27:28" ht="15" customHeight="1">
      <c r="AA184" s="242">
        <v>94</v>
      </c>
      <c r="AB184" s="242">
        <v>10.44</v>
      </c>
    </row>
    <row r="185" spans="27:28" ht="15" customHeight="1">
      <c r="AA185" s="242">
        <v>95</v>
      </c>
      <c r="AB185" s="242">
        <v>11.07</v>
      </c>
    </row>
    <row r="186" spans="27:28" ht="15" customHeight="1">
      <c r="AA186" s="242">
        <v>96</v>
      </c>
      <c r="AB186" s="242">
        <v>11.23</v>
      </c>
    </row>
    <row r="187" spans="27:28" ht="15" customHeight="1">
      <c r="AA187" s="242">
        <v>97</v>
      </c>
      <c r="AB187" s="242">
        <v>13.05</v>
      </c>
    </row>
    <row r="188" spans="27:28" ht="15" customHeight="1">
      <c r="AA188" s="242">
        <v>98</v>
      </c>
      <c r="AB188" s="242">
        <v>11.81</v>
      </c>
    </row>
    <row r="189" spans="27:28" ht="15" customHeight="1">
      <c r="AA189" s="242">
        <v>99</v>
      </c>
      <c r="AB189" s="242">
        <v>10.89</v>
      </c>
    </row>
    <row r="190" spans="27:28" ht="15" customHeight="1">
      <c r="AA190" s="242">
        <v>100</v>
      </c>
      <c r="AB190" s="242">
        <v>11.06</v>
      </c>
    </row>
    <row r="191" spans="27:28" ht="15" customHeight="1">
      <c r="AA191" s="242">
        <v>101</v>
      </c>
      <c r="AB191" s="242">
        <v>12.61</v>
      </c>
    </row>
    <row r="192" spans="27:28" ht="15" customHeight="1">
      <c r="AA192" s="242">
        <v>102</v>
      </c>
      <c r="AB192" s="242">
        <v>13.19</v>
      </c>
    </row>
    <row r="193" spans="27:28" ht="15" customHeight="1">
      <c r="AA193" s="242">
        <v>103</v>
      </c>
      <c r="AB193" s="242">
        <v>12.99</v>
      </c>
    </row>
    <row r="194" spans="27:28" ht="15" customHeight="1">
      <c r="AA194" s="242">
        <v>104</v>
      </c>
      <c r="AB194" s="242">
        <v>13.37</v>
      </c>
    </row>
    <row r="195" spans="27:28" ht="15" customHeight="1">
      <c r="AA195" s="242">
        <v>105</v>
      </c>
      <c r="AB195" s="242">
        <v>10.76</v>
      </c>
    </row>
    <row r="196" spans="27:28" ht="15" customHeight="1">
      <c r="AA196" s="242">
        <v>106</v>
      </c>
      <c r="AB196" s="242">
        <v>13.43</v>
      </c>
    </row>
    <row r="197" spans="27:28" ht="15" customHeight="1">
      <c r="AA197" s="242">
        <v>107</v>
      </c>
      <c r="AB197" s="242">
        <v>11.11</v>
      </c>
    </row>
    <row r="198" spans="27:28" ht="15" customHeight="1">
      <c r="AA198" s="242">
        <v>108</v>
      </c>
      <c r="AB198" s="242">
        <v>11.1</v>
      </c>
    </row>
    <row r="199" spans="27:28" ht="15" customHeight="1">
      <c r="AA199" s="242">
        <v>109</v>
      </c>
      <c r="AB199" s="242">
        <v>12.85</v>
      </c>
    </row>
    <row r="200" spans="27:28" ht="15" customHeight="1">
      <c r="AA200" s="242">
        <v>110</v>
      </c>
      <c r="AB200" s="242">
        <v>13.16</v>
      </c>
    </row>
    <row r="201" spans="27:28" ht="15" customHeight="1">
      <c r="AA201" s="242">
        <v>111</v>
      </c>
      <c r="AB201" s="242">
        <v>13.27</v>
      </c>
    </row>
    <row r="202" spans="27:28" ht="15" customHeight="1">
      <c r="AA202" s="242">
        <v>112</v>
      </c>
      <c r="AB202" s="242">
        <v>13.39</v>
      </c>
    </row>
    <row r="203" spans="27:28" ht="15" customHeight="1">
      <c r="AA203" s="242">
        <v>113</v>
      </c>
      <c r="AB203" s="242">
        <v>12.87</v>
      </c>
    </row>
    <row r="204" spans="27:28" ht="15" customHeight="1">
      <c r="AA204" s="242">
        <v>114</v>
      </c>
      <c r="AB204" s="242">
        <v>13.25</v>
      </c>
    </row>
    <row r="205" spans="27:28" ht="15" customHeight="1">
      <c r="AA205" s="242">
        <v>115</v>
      </c>
      <c r="AB205" s="242">
        <v>13.18</v>
      </c>
    </row>
    <row r="206" spans="27:28" ht="15" customHeight="1">
      <c r="AA206" s="242">
        <v>116</v>
      </c>
      <c r="AB206" s="242">
        <v>13.09</v>
      </c>
    </row>
    <row r="207" spans="27:28" ht="15" customHeight="1">
      <c r="AA207" s="242">
        <v>117</v>
      </c>
      <c r="AB207" s="242">
        <v>11.16</v>
      </c>
    </row>
    <row r="208" spans="27:28" ht="15" customHeight="1">
      <c r="AA208" s="242">
        <v>118</v>
      </c>
      <c r="AB208" s="242">
        <v>12.91</v>
      </c>
    </row>
    <row r="209" spans="27:28" ht="15" customHeight="1">
      <c r="AA209" s="242">
        <v>119</v>
      </c>
      <c r="AB209" s="242">
        <v>12.63</v>
      </c>
    </row>
    <row r="210" spans="27:28" ht="15" customHeight="1">
      <c r="AA210" s="242">
        <v>120</v>
      </c>
      <c r="AB210" s="242">
        <v>11.16</v>
      </c>
    </row>
    <row r="211" spans="27:28" ht="15" customHeight="1">
      <c r="AA211" s="242">
        <v>121</v>
      </c>
      <c r="AB211" s="242">
        <v>10.78</v>
      </c>
    </row>
    <row r="212" spans="27:28" ht="15" customHeight="1">
      <c r="AA212" s="242">
        <v>122</v>
      </c>
      <c r="AB212" s="242">
        <v>10.69</v>
      </c>
    </row>
    <row r="213" spans="27:28" ht="15" customHeight="1">
      <c r="AA213" s="242">
        <v>123</v>
      </c>
      <c r="AB213" s="242">
        <v>10.92</v>
      </c>
    </row>
    <row r="214" spans="27:28" ht="15" customHeight="1">
      <c r="AA214" s="242">
        <v>124</v>
      </c>
      <c r="AB214" s="242">
        <v>10.99</v>
      </c>
    </row>
    <row r="215" spans="27:28" ht="15" customHeight="1">
      <c r="AA215" s="242">
        <v>125</v>
      </c>
      <c r="AB215" s="242">
        <v>11.12</v>
      </c>
    </row>
    <row r="216" spans="27:28" ht="15" customHeight="1">
      <c r="AA216" s="242">
        <v>126</v>
      </c>
      <c r="AB216" s="242">
        <v>11.11</v>
      </c>
    </row>
    <row r="217" spans="27:28" ht="15" customHeight="1">
      <c r="AA217" s="242">
        <v>127</v>
      </c>
      <c r="AB217" s="242">
        <v>11.03</v>
      </c>
    </row>
    <row r="218" spans="27:28" ht="15" customHeight="1">
      <c r="AA218" s="242">
        <v>128</v>
      </c>
      <c r="AB218" s="242">
        <v>11.07</v>
      </c>
    </row>
    <row r="219" spans="27:28" ht="15" customHeight="1">
      <c r="AA219" s="242">
        <v>129</v>
      </c>
      <c r="AB219" s="242">
        <v>12.31</v>
      </c>
    </row>
    <row r="220" spans="27:28" ht="15" customHeight="1">
      <c r="AA220" s="242">
        <v>130</v>
      </c>
      <c r="AB220" s="242">
        <v>10.95</v>
      </c>
    </row>
    <row r="221" spans="27:28" ht="15" customHeight="1">
      <c r="AA221" s="242">
        <v>131</v>
      </c>
      <c r="AB221" s="242">
        <v>10.95</v>
      </c>
    </row>
    <row r="222" spans="27:28" ht="15" customHeight="1">
      <c r="AA222" s="242">
        <v>132</v>
      </c>
      <c r="AB222" s="242">
        <v>11.1</v>
      </c>
    </row>
    <row r="223" spans="27:28" ht="15" customHeight="1">
      <c r="AA223" s="242">
        <v>133</v>
      </c>
      <c r="AB223" s="242">
        <v>11.04</v>
      </c>
    </row>
    <row r="224" spans="27:28" ht="15" customHeight="1">
      <c r="AA224" s="242">
        <v>134</v>
      </c>
      <c r="AB224" s="242">
        <v>11.12</v>
      </c>
    </row>
    <row r="225" spans="27:28" ht="15" customHeight="1">
      <c r="AA225" s="242">
        <v>135</v>
      </c>
      <c r="AB225" s="242">
        <v>11.03</v>
      </c>
    </row>
    <row r="226" spans="27:28" ht="15" customHeight="1">
      <c r="AA226" s="242">
        <v>136</v>
      </c>
      <c r="AB226" s="242">
        <v>10.72</v>
      </c>
    </row>
    <row r="227" spans="27:28" ht="15" customHeight="1">
      <c r="AA227" s="242">
        <v>137</v>
      </c>
      <c r="AB227" s="242">
        <v>10.89</v>
      </c>
    </row>
    <row r="228" spans="27:28" ht="15" customHeight="1">
      <c r="AA228" s="242">
        <v>138</v>
      </c>
      <c r="AB228" s="242">
        <v>11.15</v>
      </c>
    </row>
    <row r="229" spans="27:28" ht="15" customHeight="1">
      <c r="AA229" s="242">
        <v>139</v>
      </c>
      <c r="AB229" s="242">
        <v>11.36</v>
      </c>
    </row>
    <row r="230" spans="27:28" ht="15" customHeight="1">
      <c r="AA230" s="242">
        <v>140</v>
      </c>
      <c r="AB230" s="242">
        <v>11.45</v>
      </c>
    </row>
    <row r="231" spans="27:28" ht="15" customHeight="1">
      <c r="AA231" s="242">
        <v>141</v>
      </c>
      <c r="AB231" s="242">
        <v>11.26</v>
      </c>
    </row>
    <row r="232" spans="27:28" ht="15" customHeight="1">
      <c r="AA232" s="242">
        <v>142</v>
      </c>
      <c r="AB232" s="242">
        <v>11</v>
      </c>
    </row>
    <row r="233" spans="27:28" ht="15" customHeight="1">
      <c r="AA233" s="242">
        <v>143</v>
      </c>
      <c r="AB233" s="242">
        <v>11.38</v>
      </c>
    </row>
    <row r="234" spans="27:28" ht="15" customHeight="1">
      <c r="AA234" s="242">
        <v>144</v>
      </c>
      <c r="AB234" s="242">
        <v>11.17</v>
      </c>
    </row>
    <row r="235" spans="27:28" ht="15" customHeight="1">
      <c r="AA235" s="242">
        <v>145</v>
      </c>
      <c r="AB235" s="242">
        <v>11.19</v>
      </c>
    </row>
    <row r="236" spans="27:28" ht="15" customHeight="1">
      <c r="AA236" s="242">
        <v>146</v>
      </c>
      <c r="AB236" s="242">
        <v>10.77</v>
      </c>
    </row>
    <row r="237" spans="27:28" ht="15" customHeight="1">
      <c r="AA237" s="242">
        <v>147</v>
      </c>
      <c r="AB237" s="242">
        <v>11.23</v>
      </c>
    </row>
    <row r="238" spans="27:28" ht="15" customHeight="1">
      <c r="AA238" s="242">
        <v>148</v>
      </c>
      <c r="AB238" s="242">
        <v>11.15</v>
      </c>
    </row>
    <row r="239" spans="27:28" ht="15" customHeight="1">
      <c r="AA239" s="242">
        <v>149</v>
      </c>
      <c r="AB239" s="242">
        <v>12.38</v>
      </c>
    </row>
    <row r="240" spans="27:28" ht="15" customHeight="1">
      <c r="AA240" s="242">
        <v>150</v>
      </c>
      <c r="AB240" s="242">
        <v>13.29</v>
      </c>
    </row>
    <row r="241" spans="27:28" ht="15" customHeight="1">
      <c r="AA241" s="242">
        <v>151</v>
      </c>
      <c r="AB241" s="242">
        <v>11</v>
      </c>
    </row>
    <row r="242" spans="27:28" ht="15" customHeight="1">
      <c r="AA242" s="242">
        <v>152</v>
      </c>
      <c r="AB242" s="242">
        <v>12.83</v>
      </c>
    </row>
    <row r="243" spans="27:28" ht="15" customHeight="1">
      <c r="AA243" s="242">
        <v>153</v>
      </c>
      <c r="AB243" s="242">
        <v>13.12</v>
      </c>
    </row>
    <row r="244" spans="27:28" ht="15" customHeight="1">
      <c r="AA244" s="242">
        <v>154</v>
      </c>
      <c r="AB244" s="242">
        <v>11.25</v>
      </c>
    </row>
    <row r="245" spans="27:28" ht="15" customHeight="1">
      <c r="AA245" s="242">
        <v>155</v>
      </c>
      <c r="AB245" s="242">
        <v>10.73</v>
      </c>
    </row>
    <row r="246" spans="27:28" ht="15" customHeight="1">
      <c r="AA246" s="242">
        <v>156</v>
      </c>
      <c r="AB246" s="242">
        <v>12.96</v>
      </c>
    </row>
    <row r="247" spans="27:28" ht="15" customHeight="1">
      <c r="AA247" s="242">
        <v>157</v>
      </c>
      <c r="AB247" s="242">
        <v>13.39</v>
      </c>
    </row>
    <row r="248" spans="27:28" ht="15" customHeight="1">
      <c r="AA248" s="242">
        <v>158</v>
      </c>
      <c r="AB248" s="242">
        <v>10.72</v>
      </c>
    </row>
    <row r="249" spans="27:28" ht="15" customHeight="1">
      <c r="AA249" s="242">
        <v>159</v>
      </c>
      <c r="AB249" s="242">
        <v>11.05</v>
      </c>
    </row>
    <row r="250" spans="27:28" ht="15" customHeight="1">
      <c r="AA250" s="242">
        <v>160</v>
      </c>
      <c r="AB250" s="242">
        <v>11.07</v>
      </c>
    </row>
    <row r="251" spans="27:28" ht="15" customHeight="1">
      <c r="AA251" s="242">
        <v>161</v>
      </c>
      <c r="AB251" s="242">
        <v>10.85</v>
      </c>
    </row>
    <row r="252" spans="27:28" ht="15" customHeight="1">
      <c r="AA252" s="242">
        <v>162</v>
      </c>
      <c r="AB252" s="242">
        <v>10.9</v>
      </c>
    </row>
    <row r="253" spans="27:28" ht="15" customHeight="1">
      <c r="AA253" s="242">
        <v>163</v>
      </c>
      <c r="AB253" s="242">
        <v>10.96</v>
      </c>
    </row>
    <row r="254" spans="27:28" ht="15" customHeight="1">
      <c r="AA254" s="242">
        <v>164</v>
      </c>
      <c r="AB254" s="242">
        <v>11.04</v>
      </c>
    </row>
    <row r="255" spans="27:28" ht="15" customHeight="1">
      <c r="AA255" s="242">
        <v>165</v>
      </c>
      <c r="AB255" s="242">
        <v>10.96</v>
      </c>
    </row>
    <row r="256" spans="27:28" ht="15" customHeight="1">
      <c r="AA256" s="242">
        <v>166</v>
      </c>
      <c r="AB256" s="242">
        <v>12.73</v>
      </c>
    </row>
    <row r="257" spans="27:28" ht="15" customHeight="1">
      <c r="AA257" s="242">
        <v>167</v>
      </c>
      <c r="AB257" s="242">
        <v>10.86</v>
      </c>
    </row>
    <row r="258" spans="27:28" ht="15" customHeight="1">
      <c r="AA258" s="242">
        <v>168</v>
      </c>
      <c r="AB258" s="242">
        <v>10.97</v>
      </c>
    </row>
    <row r="259" spans="27:28" ht="15" customHeight="1">
      <c r="AA259" s="242">
        <v>169</v>
      </c>
      <c r="AB259" s="242">
        <v>11.07</v>
      </c>
    </row>
    <row r="260" spans="27:28" ht="15" customHeight="1">
      <c r="AA260" s="242">
        <v>170</v>
      </c>
      <c r="AB260" s="242">
        <v>13.05</v>
      </c>
    </row>
    <row r="261" spans="27:28" ht="15" customHeight="1">
      <c r="AA261" s="242">
        <v>171</v>
      </c>
      <c r="AB261" s="242">
        <v>12.98</v>
      </c>
    </row>
    <row r="262" spans="27:28" ht="15" customHeight="1">
      <c r="AA262" s="242">
        <v>172</v>
      </c>
      <c r="AB262" s="242">
        <v>13.21</v>
      </c>
    </row>
    <row r="263" spans="27:28" ht="15" customHeight="1">
      <c r="AA263" s="242">
        <v>173</v>
      </c>
      <c r="AB263" s="242">
        <v>12.97</v>
      </c>
    </row>
    <row r="264" spans="27:28" ht="15" customHeight="1">
      <c r="AA264" s="242">
        <v>174</v>
      </c>
      <c r="AB264" s="242">
        <v>12.71</v>
      </c>
    </row>
    <row r="265" spans="27:28" ht="15" customHeight="1">
      <c r="AA265" s="242">
        <v>175</v>
      </c>
      <c r="AB265" s="242">
        <v>12.53</v>
      </c>
    </row>
    <row r="266" spans="27:28" ht="15" customHeight="1">
      <c r="AA266" s="242">
        <v>176</v>
      </c>
      <c r="AB266" s="242">
        <v>13.07</v>
      </c>
    </row>
    <row r="267" spans="27:28" ht="15" customHeight="1">
      <c r="AA267" s="242">
        <v>177</v>
      </c>
      <c r="AB267" s="242">
        <v>13.04</v>
      </c>
    </row>
    <row r="268" spans="27:28" ht="15" customHeight="1">
      <c r="AA268" s="242">
        <v>178</v>
      </c>
      <c r="AB268" s="242">
        <v>13.29</v>
      </c>
    </row>
    <row r="269" spans="27:28" ht="15" customHeight="1">
      <c r="AA269" s="242">
        <v>179</v>
      </c>
      <c r="AB269" s="242">
        <v>12.93</v>
      </c>
    </row>
    <row r="270" spans="27:28" ht="15" customHeight="1">
      <c r="AA270" s="242">
        <v>180</v>
      </c>
      <c r="AB270" s="242">
        <v>13.26</v>
      </c>
    </row>
    <row r="271" spans="27:28" ht="15" customHeight="1">
      <c r="AA271" s="242">
        <v>181</v>
      </c>
      <c r="AB271" s="242">
        <v>13</v>
      </c>
    </row>
    <row r="272" spans="27:28" ht="15" customHeight="1">
      <c r="AA272" s="242">
        <v>182</v>
      </c>
      <c r="AB272" s="242">
        <v>12.9</v>
      </c>
    </row>
    <row r="273" spans="27:28" ht="15" customHeight="1">
      <c r="AA273" s="242">
        <v>183</v>
      </c>
      <c r="AB273" s="242">
        <v>11.06</v>
      </c>
    </row>
    <row r="274" spans="27:28" ht="15" customHeight="1">
      <c r="AA274" s="242">
        <v>184</v>
      </c>
      <c r="AB274" s="242">
        <v>11.13</v>
      </c>
    </row>
    <row r="275" spans="27:28" ht="15" customHeight="1">
      <c r="AA275" s="242">
        <v>185</v>
      </c>
      <c r="AB275" s="242">
        <v>13.2</v>
      </c>
    </row>
    <row r="276" spans="27:28" ht="15" customHeight="1">
      <c r="AA276" s="242">
        <v>186</v>
      </c>
      <c r="AB276" s="242">
        <v>12.86</v>
      </c>
    </row>
    <row r="277" spans="27:28" ht="15" customHeight="1">
      <c r="AA277" s="242">
        <v>187</v>
      </c>
      <c r="AB277" s="242">
        <v>11.16</v>
      </c>
    </row>
    <row r="278" spans="27:28" ht="15" customHeight="1">
      <c r="AA278" s="242">
        <v>188</v>
      </c>
      <c r="AB278" s="242">
        <v>13.22</v>
      </c>
    </row>
    <row r="279" spans="27:28" ht="15" customHeight="1">
      <c r="AA279" s="242">
        <v>189</v>
      </c>
      <c r="AB279" s="242">
        <v>12.9</v>
      </c>
    </row>
    <row r="280" spans="27:28" ht="15" customHeight="1">
      <c r="AA280" s="242">
        <v>190</v>
      </c>
      <c r="AB280" s="242">
        <v>12.83</v>
      </c>
    </row>
    <row r="281" spans="27:28" ht="15" customHeight="1">
      <c r="AA281" s="242">
        <v>191</v>
      </c>
      <c r="AB281" s="242">
        <v>12.94</v>
      </c>
    </row>
    <row r="282" spans="27:28" ht="15" customHeight="1">
      <c r="AA282" s="242">
        <v>192</v>
      </c>
      <c r="AB282" s="242">
        <v>11.03</v>
      </c>
    </row>
    <row r="283" spans="27:28" ht="15" customHeight="1">
      <c r="AA283" s="242">
        <v>193</v>
      </c>
      <c r="AB283" s="242">
        <v>11.13</v>
      </c>
    </row>
    <row r="284" spans="27:28" ht="15" customHeight="1">
      <c r="AA284" s="242">
        <v>194</v>
      </c>
      <c r="AB284" s="242">
        <v>10.95</v>
      </c>
    </row>
    <row r="285" spans="27:28" ht="15" customHeight="1">
      <c r="AA285" s="242">
        <v>195</v>
      </c>
      <c r="AB285" s="242">
        <v>11.17</v>
      </c>
    </row>
    <row r="286" spans="27:28" ht="15" customHeight="1">
      <c r="AA286" s="242">
        <v>196</v>
      </c>
      <c r="AB286" s="242">
        <v>11.04</v>
      </c>
    </row>
    <row r="287" spans="27:28" ht="15" customHeight="1">
      <c r="AA287" s="242">
        <v>197</v>
      </c>
      <c r="AB287" s="242">
        <v>11.17</v>
      </c>
    </row>
    <row r="288" spans="27:28" ht="15" customHeight="1">
      <c r="AA288" s="242">
        <v>198</v>
      </c>
      <c r="AB288" s="242">
        <v>11</v>
      </c>
    </row>
    <row r="289" spans="27:28" ht="15" customHeight="1">
      <c r="AA289" s="242">
        <v>199</v>
      </c>
      <c r="AB289" s="242">
        <v>10.91</v>
      </c>
    </row>
    <row r="290" spans="27:28" ht="15" customHeight="1">
      <c r="AA290" s="242">
        <v>200</v>
      </c>
      <c r="AB290" s="242">
        <v>11.06</v>
      </c>
    </row>
  </sheetData>
  <mergeCells count="9">
    <mergeCell ref="U4:W4"/>
    <mergeCell ref="U7:X7"/>
    <mergeCell ref="M6:R6"/>
    <mergeCell ref="C3:L3"/>
    <mergeCell ref="C4:D4"/>
    <mergeCell ref="E4:F4"/>
    <mergeCell ref="H4:I4"/>
    <mergeCell ref="J4:K4"/>
    <mergeCell ref="N5:P5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B1:X319"/>
  <sheetViews>
    <sheetView showGridLines="0" view="pageBreakPreview" zoomScaleNormal="100" zoomScaleSheetLayoutView="100" workbookViewId="0">
      <selection activeCell="M7" sqref="M7"/>
    </sheetView>
  </sheetViews>
  <sheetFormatPr baseColWidth="10" defaultColWidth="11.5" defaultRowHeight="15" customHeight="1"/>
  <cols>
    <col min="1" max="2" width="2.6640625" style="553" customWidth="1"/>
    <col min="3" max="12" width="7.6640625" style="553" customWidth="1"/>
    <col min="13" max="18" width="10.6640625" style="553" customWidth="1"/>
    <col min="19" max="20" width="2.6640625" style="553" customWidth="1"/>
    <col min="21" max="16384" width="11.5" style="553"/>
  </cols>
  <sheetData>
    <row r="1" spans="2:24" ht="15" customHeight="1" thickBot="1"/>
    <row r="2" spans="2:24" ht="15" customHeight="1" thickBot="1">
      <c r="B2" s="554"/>
      <c r="C2" s="555"/>
      <c r="D2" s="555"/>
      <c r="E2" s="555"/>
      <c r="F2" s="555"/>
      <c r="G2" s="555"/>
      <c r="H2" s="555"/>
      <c r="I2" s="555"/>
      <c r="J2" s="556"/>
      <c r="K2" s="555"/>
      <c r="L2" s="555"/>
      <c r="M2" s="555"/>
      <c r="N2" s="555"/>
      <c r="O2" s="555"/>
      <c r="P2" s="555"/>
      <c r="Q2" s="555"/>
      <c r="R2" s="557"/>
      <c r="S2" s="558"/>
    </row>
    <row r="3" spans="2:24" ht="15" customHeight="1">
      <c r="B3" s="559"/>
      <c r="C3" s="560" t="s">
        <v>157</v>
      </c>
      <c r="D3" s="561"/>
      <c r="E3" s="561"/>
      <c r="F3" s="561"/>
      <c r="G3" s="561"/>
      <c r="H3" s="561"/>
      <c r="I3" s="561"/>
      <c r="J3" s="561"/>
      <c r="K3" s="561"/>
      <c r="L3" s="562"/>
      <c r="M3" s="563" t="s">
        <v>0</v>
      </c>
      <c r="N3" s="564" t="str">
        <f>[4]Datos!D8</f>
        <v>Exploración Geotécnica Terracerías</v>
      </c>
      <c r="O3" s="564"/>
      <c r="P3" s="564"/>
      <c r="Q3" s="565"/>
      <c r="R3" s="558"/>
      <c r="S3" s="566"/>
    </row>
    <row r="4" spans="2:24" ht="15" customHeight="1">
      <c r="B4" s="559"/>
      <c r="C4" s="567" t="s">
        <v>9</v>
      </c>
      <c r="D4" s="568"/>
      <c r="E4" s="569" t="s">
        <v>59</v>
      </c>
      <c r="F4" s="568"/>
      <c r="G4" s="570" t="s">
        <v>48</v>
      </c>
      <c r="H4" s="571" t="s">
        <v>60</v>
      </c>
      <c r="I4" s="572"/>
      <c r="J4" s="573" t="s">
        <v>61</v>
      </c>
      <c r="K4" s="574"/>
      <c r="L4" s="575" t="s">
        <v>62</v>
      </c>
      <c r="M4" s="576" t="s">
        <v>8</v>
      </c>
      <c r="N4" s="577" t="str">
        <f>[4]Datos!D9</f>
        <v>KM 27+000 al 85+000, Tabasco</v>
      </c>
      <c r="O4" s="577"/>
      <c r="P4" s="577"/>
      <c r="R4" s="578"/>
      <c r="S4" s="579"/>
      <c r="U4" s="580"/>
      <c r="V4" s="580"/>
      <c r="W4" s="580"/>
    </row>
    <row r="5" spans="2:24" ht="15" customHeight="1">
      <c r="B5" s="559"/>
      <c r="C5" s="581" t="s">
        <v>63</v>
      </c>
      <c r="D5" s="582" t="s">
        <v>57</v>
      </c>
      <c r="E5" s="582" t="s">
        <v>14</v>
      </c>
      <c r="F5" s="582" t="s">
        <v>16</v>
      </c>
      <c r="G5" s="582" t="s">
        <v>64</v>
      </c>
      <c r="H5" s="583" t="s">
        <v>9</v>
      </c>
      <c r="I5" s="583" t="s">
        <v>10</v>
      </c>
      <c r="J5" s="583" t="s">
        <v>65</v>
      </c>
      <c r="K5" s="583" t="s">
        <v>66</v>
      </c>
      <c r="L5" s="583" t="s">
        <v>67</v>
      </c>
      <c r="M5" s="584" t="s">
        <v>1</v>
      </c>
      <c r="N5" s="585" t="str">
        <f>[4]Datos!D10</f>
        <v>2026-01-05</v>
      </c>
      <c r="O5" s="585"/>
      <c r="P5" s="585"/>
      <c r="R5" s="586"/>
      <c r="S5" s="579"/>
    </row>
    <row r="6" spans="2:24" ht="15" customHeight="1">
      <c r="B6" s="559"/>
      <c r="C6" s="587" t="s">
        <v>3</v>
      </c>
      <c r="D6" s="588" t="s">
        <v>3</v>
      </c>
      <c r="E6" s="588" t="s">
        <v>68</v>
      </c>
      <c r="F6" s="588" t="s">
        <v>68</v>
      </c>
      <c r="G6" s="588" t="s">
        <v>4</v>
      </c>
      <c r="H6" s="588" t="s">
        <v>3</v>
      </c>
      <c r="I6" s="589" t="s">
        <v>5</v>
      </c>
      <c r="J6" s="589" t="s">
        <v>5</v>
      </c>
      <c r="K6" s="589" t="s">
        <v>5</v>
      </c>
      <c r="L6" s="588" t="s">
        <v>31</v>
      </c>
      <c r="M6" s="590" t="s">
        <v>69</v>
      </c>
      <c r="N6" s="591"/>
      <c r="O6" s="591"/>
      <c r="P6" s="591"/>
      <c r="Q6" s="591"/>
      <c r="R6" s="592"/>
      <c r="S6" s="566"/>
    </row>
    <row r="7" spans="2:24" ht="15" customHeight="1">
      <c r="B7" s="593"/>
      <c r="C7" s="252" t="str">
        <f>Datos!J8</f>
        <v/>
      </c>
      <c r="D7" s="253">
        <f>Datos!J9</f>
        <v>0</v>
      </c>
      <c r="E7" s="254" t="str">
        <f>[4]Datos!J10</f>
        <v>0</v>
      </c>
      <c r="F7" s="255" t="str">
        <f>[4]Datos!L10</f>
        <v>0.60</v>
      </c>
      <c r="G7" s="256"/>
      <c r="H7" s="256"/>
      <c r="I7" s="594" t="e">
        <f>+VLOOKUP(H7,$C$65:$D$319, 2,FALSE)</f>
        <v>#N/A</v>
      </c>
      <c r="J7" s="257"/>
      <c r="K7" s="257"/>
      <c r="L7" s="595" t="e">
        <f>((J7-K7)/(K7-I7)*100)</f>
        <v>#N/A</v>
      </c>
      <c r="M7" s="596"/>
      <c r="N7" s="597"/>
      <c r="O7" s="597"/>
      <c r="P7" s="597"/>
      <c r="Q7" s="597"/>
      <c r="R7" s="598"/>
      <c r="S7" s="566"/>
      <c r="U7" s="580"/>
      <c r="V7" s="580"/>
      <c r="W7" s="580"/>
      <c r="X7" s="580"/>
    </row>
    <row r="8" spans="2:24" ht="15" customHeight="1">
      <c r="B8" s="593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595"/>
      <c r="M8" s="599"/>
      <c r="N8" s="597"/>
      <c r="O8" s="597"/>
      <c r="P8" s="597"/>
      <c r="Q8" s="597"/>
      <c r="R8" s="598"/>
      <c r="S8" s="566"/>
      <c r="X8" s="600"/>
    </row>
    <row r="9" spans="2:24" ht="15" customHeight="1">
      <c r="B9" s="593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595"/>
      <c r="M9" s="599"/>
      <c r="N9" s="597"/>
      <c r="O9" s="597"/>
      <c r="P9" s="597"/>
      <c r="Q9" s="597"/>
      <c r="R9" s="598"/>
      <c r="S9" s="566"/>
    </row>
    <row r="10" spans="2:24" ht="15" customHeight="1">
      <c r="B10" s="593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595"/>
      <c r="M10" s="599"/>
      <c r="N10" s="597"/>
      <c r="O10" s="597"/>
      <c r="P10" s="597"/>
      <c r="Q10" s="597"/>
      <c r="R10" s="598"/>
      <c r="S10" s="566"/>
    </row>
    <row r="11" spans="2:24" ht="15" customHeight="1">
      <c r="B11" s="593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595"/>
      <c r="M11" s="599"/>
      <c r="N11" s="597"/>
      <c r="O11" s="597"/>
      <c r="P11" s="597"/>
      <c r="Q11" s="597"/>
      <c r="R11" s="598"/>
      <c r="S11" s="566"/>
    </row>
    <row r="12" spans="2:24" ht="15" customHeight="1">
      <c r="B12" s="593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595"/>
      <c r="M12" s="599"/>
      <c r="N12" s="597"/>
      <c r="O12" s="597"/>
      <c r="P12" s="597"/>
      <c r="Q12" s="597"/>
      <c r="R12" s="598"/>
      <c r="S12" s="566"/>
    </row>
    <row r="13" spans="2:24" ht="15" customHeight="1">
      <c r="B13" s="593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595"/>
      <c r="M13" s="599"/>
      <c r="N13" s="597"/>
      <c r="O13" s="597"/>
      <c r="P13" s="597"/>
      <c r="Q13" s="597"/>
      <c r="R13" s="598"/>
      <c r="S13" s="566"/>
    </row>
    <row r="14" spans="2:24" ht="15" customHeight="1">
      <c r="B14" s="593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595"/>
      <c r="M14" s="599"/>
      <c r="N14" s="597"/>
      <c r="O14" s="597"/>
      <c r="P14" s="597"/>
      <c r="Q14" s="597"/>
      <c r="R14" s="598"/>
      <c r="S14" s="566"/>
    </row>
    <row r="15" spans="2:24" ht="15" customHeight="1">
      <c r="B15" s="593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595"/>
      <c r="M15" s="599"/>
      <c r="N15" s="597"/>
      <c r="O15" s="597"/>
      <c r="P15" s="597"/>
      <c r="Q15" s="597"/>
      <c r="R15" s="598"/>
      <c r="S15" s="566"/>
    </row>
    <row r="16" spans="2:24" ht="15" customHeight="1">
      <c r="B16" s="593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595"/>
      <c r="M16" s="599"/>
      <c r="N16" s="597"/>
      <c r="O16" s="597"/>
      <c r="P16" s="597"/>
      <c r="Q16" s="597"/>
      <c r="R16" s="598"/>
      <c r="S16" s="566"/>
    </row>
    <row r="17" spans="2:19" ht="15" customHeight="1">
      <c r="B17" s="593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595"/>
      <c r="M17" s="599"/>
      <c r="N17" s="597"/>
      <c r="O17" s="597"/>
      <c r="P17" s="597"/>
      <c r="Q17" s="597"/>
      <c r="R17" s="598"/>
      <c r="S17" s="566"/>
    </row>
    <row r="18" spans="2:19" ht="15" customHeight="1">
      <c r="B18" s="593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595"/>
      <c r="M18" s="599"/>
      <c r="N18" s="597"/>
      <c r="O18" s="597"/>
      <c r="P18" s="597"/>
      <c r="Q18" s="597"/>
      <c r="R18" s="598"/>
      <c r="S18" s="566"/>
    </row>
    <row r="19" spans="2:19" ht="15" customHeight="1">
      <c r="B19" s="593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595"/>
      <c r="M19" s="599"/>
      <c r="N19" s="597"/>
      <c r="O19" s="597"/>
      <c r="P19" s="597"/>
      <c r="Q19" s="597"/>
      <c r="R19" s="598"/>
      <c r="S19" s="566"/>
    </row>
    <row r="20" spans="2:19" ht="15" customHeight="1">
      <c r="B20" s="593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595"/>
      <c r="M20" s="599"/>
      <c r="N20" s="597"/>
      <c r="O20" s="597"/>
      <c r="P20" s="597"/>
      <c r="Q20" s="597"/>
      <c r="R20" s="598"/>
      <c r="S20" s="566"/>
    </row>
    <row r="21" spans="2:19" ht="15" customHeight="1">
      <c r="B21" s="593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595"/>
      <c r="M21" s="599"/>
      <c r="N21" s="597"/>
      <c r="O21" s="597"/>
      <c r="P21" s="597"/>
      <c r="Q21" s="597"/>
      <c r="R21" s="598"/>
      <c r="S21" s="566"/>
    </row>
    <row r="22" spans="2:19" ht="15" customHeight="1">
      <c r="B22" s="593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595"/>
      <c r="M22" s="599"/>
      <c r="N22" s="597"/>
      <c r="O22" s="597"/>
      <c r="P22" s="597"/>
      <c r="Q22" s="597"/>
      <c r="R22" s="598"/>
      <c r="S22" s="566"/>
    </row>
    <row r="23" spans="2:19" ht="15" customHeight="1">
      <c r="B23" s="593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595"/>
      <c r="M23" s="599"/>
      <c r="N23" s="597"/>
      <c r="O23" s="597"/>
      <c r="P23" s="597"/>
      <c r="Q23" s="597"/>
      <c r="R23" s="598"/>
      <c r="S23" s="566"/>
    </row>
    <row r="24" spans="2:19" ht="15" customHeight="1">
      <c r="B24" s="593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595"/>
      <c r="M24" s="599"/>
      <c r="N24" s="597"/>
      <c r="O24" s="597"/>
      <c r="P24" s="597"/>
      <c r="Q24" s="597"/>
      <c r="R24" s="598"/>
      <c r="S24" s="566"/>
    </row>
    <row r="25" spans="2:19" ht="15" customHeight="1">
      <c r="B25" s="593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595"/>
      <c r="M25" s="599"/>
      <c r="N25" s="597"/>
      <c r="O25" s="597"/>
      <c r="P25" s="597"/>
      <c r="Q25" s="597"/>
      <c r="R25" s="598"/>
      <c r="S25" s="566"/>
    </row>
    <row r="26" spans="2:19" ht="15" customHeight="1">
      <c r="B26" s="593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595"/>
      <c r="M26" s="599"/>
      <c r="N26" s="597"/>
      <c r="O26" s="597"/>
      <c r="P26" s="597"/>
      <c r="Q26" s="597"/>
      <c r="R26" s="598"/>
      <c r="S26" s="566"/>
    </row>
    <row r="27" spans="2:19" ht="15" customHeight="1">
      <c r="B27" s="593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595"/>
      <c r="M27" s="599"/>
      <c r="N27" s="597"/>
      <c r="O27" s="597"/>
      <c r="P27" s="597"/>
      <c r="Q27" s="597"/>
      <c r="R27" s="598"/>
      <c r="S27" s="566"/>
    </row>
    <row r="28" spans="2:19" ht="15" customHeight="1">
      <c r="B28" s="593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595"/>
      <c r="M28" s="599"/>
      <c r="N28" s="597"/>
      <c r="O28" s="597"/>
      <c r="P28" s="597"/>
      <c r="Q28" s="597"/>
      <c r="R28" s="598"/>
      <c r="S28" s="566"/>
    </row>
    <row r="29" spans="2:19" ht="15" customHeight="1">
      <c r="B29" s="593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595"/>
      <c r="M29" s="599"/>
      <c r="N29" s="597"/>
      <c r="O29" s="597"/>
      <c r="P29" s="597"/>
      <c r="Q29" s="597"/>
      <c r="R29" s="598"/>
      <c r="S29" s="566"/>
    </row>
    <row r="30" spans="2:19" ht="15" customHeight="1">
      <c r="B30" s="593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595"/>
      <c r="M30" s="599"/>
      <c r="N30" s="597"/>
      <c r="O30" s="597"/>
      <c r="P30" s="597"/>
      <c r="Q30" s="597"/>
      <c r="R30" s="598"/>
      <c r="S30" s="566"/>
    </row>
    <row r="31" spans="2:19" ht="15" customHeight="1">
      <c r="B31" s="593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595"/>
      <c r="M31" s="599"/>
      <c r="N31" s="597"/>
      <c r="O31" s="597"/>
      <c r="P31" s="597"/>
      <c r="Q31" s="597"/>
      <c r="R31" s="598"/>
      <c r="S31" s="566"/>
    </row>
    <row r="32" spans="2:19" ht="15" customHeight="1">
      <c r="B32" s="593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595"/>
      <c r="M32" s="599"/>
      <c r="N32" s="597"/>
      <c r="O32" s="597"/>
      <c r="P32" s="597"/>
      <c r="Q32" s="597"/>
      <c r="R32" s="598"/>
      <c r="S32" s="566"/>
    </row>
    <row r="33" spans="2:19" ht="15" customHeight="1">
      <c r="B33" s="593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595"/>
      <c r="M33" s="599"/>
      <c r="N33" s="597"/>
      <c r="O33" s="597"/>
      <c r="P33" s="597"/>
      <c r="Q33" s="597"/>
      <c r="R33" s="598"/>
      <c r="S33" s="566"/>
    </row>
    <row r="34" spans="2:19" ht="15" customHeight="1">
      <c r="B34" s="593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595"/>
      <c r="M34" s="599"/>
      <c r="N34" s="597"/>
      <c r="O34" s="597"/>
      <c r="P34" s="597"/>
      <c r="Q34" s="597"/>
      <c r="R34" s="598"/>
      <c r="S34" s="566"/>
    </row>
    <row r="35" spans="2:19" ht="15" customHeight="1">
      <c r="B35" s="593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595"/>
      <c r="M35" s="599"/>
      <c r="N35" s="597"/>
      <c r="O35" s="597"/>
      <c r="P35" s="597"/>
      <c r="Q35" s="597"/>
      <c r="R35" s="598"/>
      <c r="S35" s="566"/>
    </row>
    <row r="36" spans="2:19" ht="15" customHeight="1">
      <c r="B36" s="593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595"/>
      <c r="M36" s="599"/>
      <c r="N36" s="597"/>
      <c r="O36" s="597"/>
      <c r="P36" s="597"/>
      <c r="Q36" s="597"/>
      <c r="R36" s="598"/>
      <c r="S36" s="566"/>
    </row>
    <row r="37" spans="2:19" ht="15" customHeight="1">
      <c r="B37" s="593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595"/>
      <c r="M37" s="599"/>
      <c r="N37" s="597"/>
      <c r="O37" s="597"/>
      <c r="P37" s="597"/>
      <c r="Q37" s="597"/>
      <c r="R37" s="598"/>
      <c r="S37" s="566"/>
    </row>
    <row r="38" spans="2:19" ht="15" customHeight="1">
      <c r="B38" s="593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595"/>
      <c r="M38" s="599"/>
      <c r="N38" s="597"/>
      <c r="O38" s="597"/>
      <c r="P38" s="597"/>
      <c r="Q38" s="597"/>
      <c r="R38" s="598"/>
      <c r="S38" s="566"/>
    </row>
    <row r="39" spans="2:19" ht="15" customHeight="1">
      <c r="B39" s="593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595"/>
      <c r="M39" s="599"/>
      <c r="N39" s="597"/>
      <c r="O39" s="597"/>
      <c r="P39" s="597"/>
      <c r="Q39" s="597"/>
      <c r="R39" s="598"/>
      <c r="S39" s="566"/>
    </row>
    <row r="40" spans="2:19" ht="15" customHeight="1">
      <c r="B40" s="593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595"/>
      <c r="M40" s="599"/>
      <c r="N40" s="597"/>
      <c r="O40" s="597"/>
      <c r="P40" s="597"/>
      <c r="Q40" s="597"/>
      <c r="R40" s="598"/>
      <c r="S40" s="566"/>
    </row>
    <row r="41" spans="2:19" ht="15" customHeight="1">
      <c r="B41" s="593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595"/>
      <c r="M41" s="599"/>
      <c r="N41" s="597"/>
      <c r="O41" s="597"/>
      <c r="P41" s="597"/>
      <c r="Q41" s="597"/>
      <c r="R41" s="598"/>
      <c r="S41" s="566"/>
    </row>
    <row r="42" spans="2:19" ht="15" customHeight="1" thickBot="1">
      <c r="B42" s="593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601"/>
      <c r="M42" s="602"/>
      <c r="N42" s="603"/>
      <c r="O42" s="603"/>
      <c r="P42" s="603"/>
      <c r="Q42" s="603"/>
      <c r="R42" s="604"/>
      <c r="S42" s="566"/>
    </row>
    <row r="43" spans="2:19" ht="15" customHeight="1" thickBot="1">
      <c r="B43" s="605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7"/>
    </row>
    <row r="61" spans="3:4" ht="15" customHeight="1" thickBot="1"/>
    <row r="62" spans="3:4" ht="15" customHeight="1" thickBot="1">
      <c r="C62" s="608" t="s">
        <v>158</v>
      </c>
      <c r="D62" s="609"/>
    </row>
    <row r="63" spans="3:4" ht="15" customHeight="1">
      <c r="C63" s="610" t="s">
        <v>159</v>
      </c>
      <c r="D63" s="611" t="s">
        <v>160</v>
      </c>
    </row>
    <row r="64" spans="3:4" ht="15" customHeight="1">
      <c r="C64" s="612"/>
      <c r="D64" s="613"/>
    </row>
    <row r="65" spans="3:4" ht="15" customHeight="1">
      <c r="C65" s="614">
        <v>1</v>
      </c>
      <c r="D65" s="615">
        <v>12.12</v>
      </c>
    </row>
    <row r="66" spans="3:4" ht="15" customHeight="1">
      <c r="C66" s="614">
        <v>2</v>
      </c>
      <c r="D66" s="615">
        <v>12.58</v>
      </c>
    </row>
    <row r="67" spans="3:4" ht="15" customHeight="1">
      <c r="C67" s="614">
        <v>3</v>
      </c>
      <c r="D67" s="615">
        <v>12.45</v>
      </c>
    </row>
    <row r="68" spans="3:4" ht="15" customHeight="1">
      <c r="C68" s="614">
        <v>4</v>
      </c>
      <c r="D68" s="615">
        <v>12.42</v>
      </c>
    </row>
    <row r="69" spans="3:4" ht="15" customHeight="1">
      <c r="C69" s="614">
        <v>5</v>
      </c>
      <c r="D69" s="615">
        <v>12.11</v>
      </c>
    </row>
    <row r="70" spans="3:4" ht="15" customHeight="1">
      <c r="C70" s="614">
        <v>6</v>
      </c>
      <c r="D70" s="615">
        <v>13.21</v>
      </c>
    </row>
    <row r="71" spans="3:4" ht="15" customHeight="1">
      <c r="C71" s="614">
        <v>7</v>
      </c>
      <c r="D71" s="615">
        <v>13.83</v>
      </c>
    </row>
    <row r="72" spans="3:4" ht="15" customHeight="1">
      <c r="C72" s="614">
        <v>8</v>
      </c>
      <c r="D72" s="615">
        <v>12.45</v>
      </c>
    </row>
    <row r="73" spans="3:4" ht="15" customHeight="1">
      <c r="C73" s="614">
        <v>9</v>
      </c>
      <c r="D73" s="615">
        <v>12.93</v>
      </c>
    </row>
    <row r="74" spans="3:4" ht="15" customHeight="1">
      <c r="C74" s="614">
        <v>10</v>
      </c>
      <c r="D74" s="615">
        <v>13.11</v>
      </c>
    </row>
    <row r="75" spans="3:4" ht="15" customHeight="1">
      <c r="C75" s="614">
        <v>11</v>
      </c>
      <c r="D75" s="615">
        <v>12.1</v>
      </c>
    </row>
    <row r="76" spans="3:4" ht="15" customHeight="1">
      <c r="C76" s="614">
        <v>12</v>
      </c>
      <c r="D76" s="615">
        <v>11.72</v>
      </c>
    </row>
    <row r="77" spans="3:4" ht="15" customHeight="1">
      <c r="C77" s="614">
        <v>13</v>
      </c>
      <c r="D77" s="615">
        <v>11.78</v>
      </c>
    </row>
    <row r="78" spans="3:4" ht="15" customHeight="1">
      <c r="C78" s="614">
        <v>14</v>
      </c>
      <c r="D78" s="615">
        <v>12.35</v>
      </c>
    </row>
    <row r="79" spans="3:4" ht="15" customHeight="1">
      <c r="C79" s="614">
        <v>15</v>
      </c>
      <c r="D79" s="615">
        <v>12.42</v>
      </c>
    </row>
    <row r="80" spans="3:4" ht="15" customHeight="1">
      <c r="C80" s="614">
        <v>16</v>
      </c>
      <c r="D80" s="615">
        <v>12.27</v>
      </c>
    </row>
    <row r="81" spans="3:4" ht="15" customHeight="1">
      <c r="C81" s="614">
        <v>17</v>
      </c>
      <c r="D81" s="615">
        <v>12.68</v>
      </c>
    </row>
    <row r="82" spans="3:4" ht="15" customHeight="1">
      <c r="C82" s="614">
        <v>18</v>
      </c>
      <c r="D82" s="615">
        <v>12.75</v>
      </c>
    </row>
    <row r="83" spans="3:4" ht="15" customHeight="1">
      <c r="C83" s="614">
        <v>19</v>
      </c>
      <c r="D83" s="615">
        <v>12.34</v>
      </c>
    </row>
    <row r="84" spans="3:4" ht="15" customHeight="1">
      <c r="C84" s="614">
        <v>20</v>
      </c>
      <c r="D84" s="615">
        <v>13.08</v>
      </c>
    </row>
    <row r="85" spans="3:4" ht="15" customHeight="1">
      <c r="C85" s="614">
        <v>21</v>
      </c>
      <c r="D85" s="615">
        <v>15.43</v>
      </c>
    </row>
    <row r="86" spans="3:4" ht="15" customHeight="1">
      <c r="C86" s="614">
        <v>22</v>
      </c>
      <c r="D86" s="615">
        <v>12.66</v>
      </c>
    </row>
    <row r="87" spans="3:4" ht="15" customHeight="1">
      <c r="C87" s="614">
        <v>23</v>
      </c>
      <c r="D87" s="615">
        <v>12.85</v>
      </c>
    </row>
    <row r="88" spans="3:4" ht="15" customHeight="1">
      <c r="C88" s="614">
        <v>24</v>
      </c>
      <c r="D88" s="615">
        <v>12.2</v>
      </c>
    </row>
    <row r="89" spans="3:4" ht="15" customHeight="1">
      <c r="C89" s="614">
        <v>25</v>
      </c>
      <c r="D89" s="615">
        <v>13.13</v>
      </c>
    </row>
    <row r="90" spans="3:4" ht="15" customHeight="1">
      <c r="C90" s="614">
        <v>26</v>
      </c>
      <c r="D90" s="615">
        <v>12.29</v>
      </c>
    </row>
    <row r="91" spans="3:4" ht="15" customHeight="1">
      <c r="C91" s="614">
        <v>27</v>
      </c>
      <c r="D91" s="615">
        <v>12.34</v>
      </c>
    </row>
    <row r="92" spans="3:4" ht="15" customHeight="1">
      <c r="C92" s="614">
        <v>28</v>
      </c>
      <c r="D92" s="615">
        <v>12.23</v>
      </c>
    </row>
    <row r="93" spans="3:4" ht="15" customHeight="1">
      <c r="C93" s="614">
        <v>29</v>
      </c>
      <c r="D93" s="615">
        <v>12.28</v>
      </c>
    </row>
    <row r="94" spans="3:4" ht="15" customHeight="1">
      <c r="C94" s="614">
        <v>30</v>
      </c>
      <c r="D94" s="615">
        <v>12.68</v>
      </c>
    </row>
    <row r="95" spans="3:4" ht="15" customHeight="1">
      <c r="C95" s="614">
        <v>31</v>
      </c>
      <c r="D95" s="615">
        <v>12.21</v>
      </c>
    </row>
    <row r="96" spans="3:4" ht="15" customHeight="1">
      <c r="C96" s="614">
        <v>32</v>
      </c>
      <c r="D96" s="615">
        <v>12.78</v>
      </c>
    </row>
    <row r="97" spans="3:4" ht="15" customHeight="1">
      <c r="C97" s="614">
        <v>33</v>
      </c>
      <c r="D97" s="615">
        <v>12.96</v>
      </c>
    </row>
    <row r="98" spans="3:4" ht="15" customHeight="1">
      <c r="C98" s="614">
        <v>34</v>
      </c>
      <c r="D98" s="615">
        <v>13.02</v>
      </c>
    </row>
    <row r="99" spans="3:4" ht="15" customHeight="1">
      <c r="C99" s="614">
        <v>35</v>
      </c>
      <c r="D99" s="615">
        <v>12.96</v>
      </c>
    </row>
    <row r="100" spans="3:4" ht="15" customHeight="1">
      <c r="C100" s="614">
        <v>36</v>
      </c>
      <c r="D100" s="615">
        <v>12.77</v>
      </c>
    </row>
    <row r="101" spans="3:4" ht="15" customHeight="1">
      <c r="C101" s="614">
        <v>37</v>
      </c>
      <c r="D101" s="615">
        <v>12.79</v>
      </c>
    </row>
    <row r="102" spans="3:4" ht="15" customHeight="1">
      <c r="C102" s="614">
        <v>38</v>
      </c>
      <c r="D102" s="615">
        <v>12.45</v>
      </c>
    </row>
    <row r="103" spans="3:4" ht="15" customHeight="1">
      <c r="C103" s="614">
        <v>39</v>
      </c>
      <c r="D103" s="615">
        <v>13.15</v>
      </c>
    </row>
    <row r="104" spans="3:4" ht="15" customHeight="1">
      <c r="C104" s="614">
        <v>40</v>
      </c>
      <c r="D104" s="615">
        <v>12.45</v>
      </c>
    </row>
    <row r="105" spans="3:4" ht="15" customHeight="1">
      <c r="C105" s="614">
        <v>41</v>
      </c>
      <c r="D105" s="615">
        <v>12.25</v>
      </c>
    </row>
    <row r="106" spans="3:4" ht="15" customHeight="1">
      <c r="C106" s="614">
        <v>42</v>
      </c>
      <c r="D106" s="615">
        <v>12.53</v>
      </c>
    </row>
    <row r="107" spans="3:4" ht="15" customHeight="1">
      <c r="C107" s="614">
        <v>43</v>
      </c>
      <c r="D107" s="615">
        <v>12.76</v>
      </c>
    </row>
    <row r="108" spans="3:4" ht="15" customHeight="1">
      <c r="C108" s="614">
        <v>44</v>
      </c>
      <c r="D108" s="615">
        <v>13.01</v>
      </c>
    </row>
    <row r="109" spans="3:4" ht="15" customHeight="1">
      <c r="C109" s="614">
        <v>45</v>
      </c>
      <c r="D109" s="615">
        <v>12.6</v>
      </c>
    </row>
    <row r="110" spans="3:4" ht="15" customHeight="1">
      <c r="C110" s="614">
        <v>46</v>
      </c>
      <c r="D110" s="615">
        <v>12.14</v>
      </c>
    </row>
    <row r="111" spans="3:4" ht="15" customHeight="1">
      <c r="C111" s="614">
        <v>47</v>
      </c>
      <c r="D111" s="615">
        <v>12.1</v>
      </c>
    </row>
    <row r="112" spans="3:4" ht="15" customHeight="1">
      <c r="C112" s="614">
        <v>48</v>
      </c>
      <c r="D112" s="615">
        <v>12.79</v>
      </c>
    </row>
    <row r="113" spans="3:4" ht="15" customHeight="1">
      <c r="C113" s="614">
        <v>49</v>
      </c>
      <c r="D113" s="615">
        <v>12.38</v>
      </c>
    </row>
    <row r="114" spans="3:4" ht="15" customHeight="1">
      <c r="C114" s="614">
        <v>50</v>
      </c>
      <c r="D114" s="615">
        <v>12.54</v>
      </c>
    </row>
    <row r="115" spans="3:4" ht="15" customHeight="1">
      <c r="C115" s="614">
        <v>51</v>
      </c>
      <c r="D115" s="615">
        <v>12.62</v>
      </c>
    </row>
    <row r="116" spans="3:4" ht="15" customHeight="1">
      <c r="C116" s="614">
        <v>52</v>
      </c>
      <c r="D116" s="615">
        <v>12.34</v>
      </c>
    </row>
    <row r="117" spans="3:4" ht="15" customHeight="1">
      <c r="C117" s="614">
        <v>53</v>
      </c>
      <c r="D117" s="615">
        <v>12.41</v>
      </c>
    </row>
    <row r="118" spans="3:4" ht="15" customHeight="1">
      <c r="C118" s="614">
        <v>54</v>
      </c>
      <c r="D118" s="615">
        <v>12.86</v>
      </c>
    </row>
    <row r="119" spans="3:4" ht="15" customHeight="1">
      <c r="C119" s="614">
        <v>55</v>
      </c>
      <c r="D119" s="615">
        <v>12.18</v>
      </c>
    </row>
    <row r="120" spans="3:4" ht="15" customHeight="1">
      <c r="C120" s="614">
        <v>56</v>
      </c>
      <c r="D120" s="615">
        <v>12.16</v>
      </c>
    </row>
    <row r="121" spans="3:4" ht="15" customHeight="1">
      <c r="C121" s="614">
        <v>57</v>
      </c>
      <c r="D121" s="615">
        <v>12.66</v>
      </c>
    </row>
    <row r="122" spans="3:4" ht="15" customHeight="1">
      <c r="C122" s="614">
        <v>58</v>
      </c>
      <c r="D122" s="615">
        <v>12.35</v>
      </c>
    </row>
    <row r="123" spans="3:4" ht="15" customHeight="1">
      <c r="C123" s="614">
        <v>59</v>
      </c>
      <c r="D123" s="615">
        <v>12.4</v>
      </c>
    </row>
    <row r="124" spans="3:4" ht="15" customHeight="1">
      <c r="C124" s="614">
        <v>60</v>
      </c>
      <c r="D124" s="615">
        <v>12.6</v>
      </c>
    </row>
    <row r="125" spans="3:4" ht="15" customHeight="1">
      <c r="C125" s="614">
        <v>61</v>
      </c>
      <c r="D125" s="615">
        <v>12.38</v>
      </c>
    </row>
    <row r="126" spans="3:4" ht="15" customHeight="1">
      <c r="C126" s="614">
        <v>62</v>
      </c>
      <c r="D126" s="615">
        <v>12.24</v>
      </c>
    </row>
    <row r="127" spans="3:4" ht="15" customHeight="1">
      <c r="C127" s="614">
        <v>63</v>
      </c>
      <c r="D127" s="615">
        <v>15.52</v>
      </c>
    </row>
    <row r="128" spans="3:4" ht="15" customHeight="1">
      <c r="C128" s="614">
        <v>64</v>
      </c>
      <c r="D128" s="615">
        <v>12.83</v>
      </c>
    </row>
    <row r="129" spans="3:4" ht="15" customHeight="1">
      <c r="C129" s="614">
        <v>65</v>
      </c>
      <c r="D129" s="615">
        <v>13.36</v>
      </c>
    </row>
    <row r="130" spans="3:4" ht="15" customHeight="1">
      <c r="C130" s="614">
        <v>66</v>
      </c>
      <c r="D130" s="615">
        <v>12.68</v>
      </c>
    </row>
    <row r="131" spans="3:4" ht="15" customHeight="1">
      <c r="C131" s="614">
        <v>67</v>
      </c>
      <c r="D131" s="615">
        <v>12.68</v>
      </c>
    </row>
    <row r="132" spans="3:4" ht="15" customHeight="1">
      <c r="C132" s="614">
        <v>68</v>
      </c>
      <c r="D132" s="615">
        <v>13.92</v>
      </c>
    </row>
    <row r="133" spans="3:4" ht="15" customHeight="1">
      <c r="C133" s="614">
        <v>69</v>
      </c>
      <c r="D133" s="615">
        <v>12.97</v>
      </c>
    </row>
    <row r="134" spans="3:4" ht="15" customHeight="1">
      <c r="C134" s="614">
        <v>70</v>
      </c>
      <c r="D134" s="615">
        <v>12.31</v>
      </c>
    </row>
    <row r="135" spans="3:4" ht="15" customHeight="1">
      <c r="C135" s="614">
        <v>71</v>
      </c>
      <c r="D135" s="615">
        <v>12.51</v>
      </c>
    </row>
    <row r="136" spans="3:4" ht="15" customHeight="1">
      <c r="C136" s="614">
        <v>72</v>
      </c>
      <c r="D136" s="615">
        <v>11.96</v>
      </c>
    </row>
    <row r="137" spans="3:4" ht="15" customHeight="1">
      <c r="C137" s="614">
        <v>73</v>
      </c>
      <c r="D137" s="615">
        <v>12.77</v>
      </c>
    </row>
    <row r="138" spans="3:4" ht="15" customHeight="1">
      <c r="C138" s="614">
        <v>74</v>
      </c>
      <c r="D138" s="615">
        <v>12.23</v>
      </c>
    </row>
    <row r="139" spans="3:4" ht="15" customHeight="1">
      <c r="C139" s="614">
        <v>75</v>
      </c>
      <c r="D139" s="615">
        <v>12.75</v>
      </c>
    </row>
    <row r="140" spans="3:4" ht="15" customHeight="1">
      <c r="C140" s="614">
        <v>76</v>
      </c>
      <c r="D140" s="615">
        <v>12.44</v>
      </c>
    </row>
    <row r="141" spans="3:4" ht="15" customHeight="1">
      <c r="C141" s="614">
        <v>77</v>
      </c>
      <c r="D141" s="615">
        <v>12.22</v>
      </c>
    </row>
    <row r="142" spans="3:4" ht="15" customHeight="1">
      <c r="C142" s="614">
        <v>78</v>
      </c>
      <c r="D142" s="615">
        <v>12.61</v>
      </c>
    </row>
    <row r="143" spans="3:4" ht="15" customHeight="1">
      <c r="C143" s="614">
        <v>79</v>
      </c>
      <c r="D143" s="615">
        <v>12.04</v>
      </c>
    </row>
    <row r="144" spans="3:4" ht="15" customHeight="1">
      <c r="C144" s="614">
        <v>80</v>
      </c>
      <c r="D144" s="615">
        <v>12.28</v>
      </c>
    </row>
    <row r="145" spans="3:4" ht="15" customHeight="1">
      <c r="C145" s="614">
        <v>81</v>
      </c>
      <c r="D145" s="615">
        <v>11.37</v>
      </c>
    </row>
    <row r="146" spans="3:4" ht="15" customHeight="1">
      <c r="C146" s="614">
        <v>82</v>
      </c>
      <c r="D146" s="615">
        <v>11.85</v>
      </c>
    </row>
    <row r="147" spans="3:4" ht="15" customHeight="1">
      <c r="C147" s="614">
        <v>83</v>
      </c>
      <c r="D147" s="615">
        <v>12.52</v>
      </c>
    </row>
    <row r="148" spans="3:4" ht="15" customHeight="1">
      <c r="C148" s="614">
        <v>84</v>
      </c>
      <c r="D148" s="615">
        <v>12.49</v>
      </c>
    </row>
    <row r="149" spans="3:4" ht="15" customHeight="1">
      <c r="C149" s="614">
        <v>85</v>
      </c>
      <c r="D149" s="615">
        <v>12</v>
      </c>
    </row>
    <row r="150" spans="3:4" ht="15" customHeight="1">
      <c r="C150" s="614">
        <v>86</v>
      </c>
      <c r="D150" s="615">
        <v>11.93</v>
      </c>
    </row>
    <row r="151" spans="3:4" ht="15" customHeight="1">
      <c r="C151" s="614">
        <v>87</v>
      </c>
      <c r="D151" s="615">
        <v>12.3</v>
      </c>
    </row>
    <row r="152" spans="3:4" ht="15" customHeight="1">
      <c r="C152" s="614">
        <v>88</v>
      </c>
      <c r="D152" s="615">
        <v>12.48</v>
      </c>
    </row>
    <row r="153" spans="3:4" ht="15" customHeight="1">
      <c r="C153" s="614">
        <v>89</v>
      </c>
      <c r="D153" s="615">
        <v>12.66</v>
      </c>
    </row>
    <row r="154" spans="3:4" ht="15" customHeight="1">
      <c r="C154" s="614">
        <v>90</v>
      </c>
      <c r="D154" s="615">
        <v>12.42</v>
      </c>
    </row>
    <row r="155" spans="3:4" ht="15" customHeight="1">
      <c r="C155" s="614">
        <v>91</v>
      </c>
      <c r="D155" s="615">
        <v>12.45</v>
      </c>
    </row>
    <row r="156" spans="3:4" ht="15" customHeight="1">
      <c r="C156" s="614">
        <v>92</v>
      </c>
      <c r="D156" s="615">
        <v>12.36</v>
      </c>
    </row>
    <row r="157" spans="3:4" ht="15" customHeight="1">
      <c r="C157" s="614">
        <v>93</v>
      </c>
      <c r="D157" s="615">
        <v>11.76</v>
      </c>
    </row>
    <row r="158" spans="3:4" ht="15" customHeight="1">
      <c r="C158" s="614">
        <v>94</v>
      </c>
      <c r="D158" s="615">
        <v>12.92</v>
      </c>
    </row>
    <row r="159" spans="3:4" ht="15" customHeight="1">
      <c r="C159" s="614">
        <v>95</v>
      </c>
      <c r="D159" s="615">
        <v>12.08</v>
      </c>
    </row>
    <row r="160" spans="3:4" ht="15" customHeight="1">
      <c r="C160" s="614">
        <v>96</v>
      </c>
      <c r="D160" s="615">
        <v>12.21</v>
      </c>
    </row>
    <row r="161" spans="3:4" ht="15" customHeight="1">
      <c r="C161" s="614">
        <v>97</v>
      </c>
      <c r="D161" s="615">
        <v>11.63</v>
      </c>
    </row>
    <row r="162" spans="3:4" ht="15" customHeight="1">
      <c r="C162" s="614">
        <v>98</v>
      </c>
      <c r="D162" s="615">
        <v>12.44</v>
      </c>
    </row>
    <row r="163" spans="3:4" ht="15" customHeight="1">
      <c r="C163" s="614">
        <v>99</v>
      </c>
      <c r="D163" s="615">
        <v>12.44</v>
      </c>
    </row>
    <row r="164" spans="3:4" ht="15" customHeight="1">
      <c r="C164" s="614">
        <v>100</v>
      </c>
      <c r="D164" s="615">
        <v>12.09</v>
      </c>
    </row>
    <row r="165" spans="3:4" ht="15" customHeight="1">
      <c r="C165" s="614">
        <v>101</v>
      </c>
      <c r="D165" s="615">
        <v>11.88</v>
      </c>
    </row>
    <row r="166" spans="3:4" ht="15" customHeight="1">
      <c r="C166" s="614">
        <v>102</v>
      </c>
      <c r="D166" s="615">
        <v>11.98</v>
      </c>
    </row>
    <row r="167" spans="3:4" ht="15" customHeight="1">
      <c r="C167" s="614">
        <v>103</v>
      </c>
      <c r="D167" s="615">
        <v>12</v>
      </c>
    </row>
    <row r="168" spans="3:4" ht="15" customHeight="1">
      <c r="C168" s="614">
        <v>104</v>
      </c>
      <c r="D168" s="615">
        <v>11.92</v>
      </c>
    </row>
    <row r="169" spans="3:4" ht="15" customHeight="1">
      <c r="C169" s="614">
        <v>105</v>
      </c>
      <c r="D169" s="615">
        <v>12.29</v>
      </c>
    </row>
    <row r="170" spans="3:4" ht="15" customHeight="1">
      <c r="C170" s="614">
        <v>106</v>
      </c>
      <c r="D170" s="615">
        <v>11.9</v>
      </c>
    </row>
    <row r="171" spans="3:4" ht="15" customHeight="1">
      <c r="C171" s="614">
        <v>107</v>
      </c>
      <c r="D171" s="615">
        <v>11.7</v>
      </c>
    </row>
    <row r="172" spans="3:4" ht="15" customHeight="1">
      <c r="C172" s="614">
        <v>108</v>
      </c>
      <c r="D172" s="615">
        <v>11.87</v>
      </c>
    </row>
    <row r="173" spans="3:4" ht="15" customHeight="1">
      <c r="C173" s="614">
        <v>109</v>
      </c>
      <c r="D173" s="615">
        <v>11.99</v>
      </c>
    </row>
    <row r="174" spans="3:4" ht="15" customHeight="1">
      <c r="C174" s="614">
        <v>110</v>
      </c>
      <c r="D174" s="615">
        <v>12.15</v>
      </c>
    </row>
    <row r="175" spans="3:4" ht="15" customHeight="1">
      <c r="C175" s="614">
        <v>111</v>
      </c>
      <c r="D175" s="615">
        <v>12.17</v>
      </c>
    </row>
    <row r="176" spans="3:4" ht="15" customHeight="1">
      <c r="C176" s="614">
        <v>112</v>
      </c>
      <c r="D176" s="615">
        <v>11.93</v>
      </c>
    </row>
    <row r="177" spans="3:4" ht="15" customHeight="1">
      <c r="C177" s="614">
        <v>113</v>
      </c>
      <c r="D177" s="615">
        <v>11.88</v>
      </c>
    </row>
    <row r="178" spans="3:4" ht="15" customHeight="1">
      <c r="C178" s="614">
        <v>114</v>
      </c>
      <c r="D178" s="615">
        <v>11.82</v>
      </c>
    </row>
    <row r="179" spans="3:4" ht="15" customHeight="1">
      <c r="C179" s="614">
        <v>115</v>
      </c>
      <c r="D179" s="615">
        <v>11.75</v>
      </c>
    </row>
    <row r="180" spans="3:4" ht="15" customHeight="1">
      <c r="C180" s="614">
        <v>116</v>
      </c>
      <c r="D180" s="615">
        <v>11.67</v>
      </c>
    </row>
    <row r="181" spans="3:4" ht="15" customHeight="1">
      <c r="C181" s="614">
        <v>117</v>
      </c>
      <c r="D181" s="615">
        <v>11.86</v>
      </c>
    </row>
    <row r="182" spans="3:4" ht="15" customHeight="1">
      <c r="C182" s="614">
        <v>118</v>
      </c>
      <c r="D182" s="615">
        <v>12.85</v>
      </c>
    </row>
    <row r="183" spans="3:4" ht="15" customHeight="1">
      <c r="C183" s="614">
        <v>119</v>
      </c>
      <c r="D183" s="615">
        <v>12.11</v>
      </c>
    </row>
    <row r="184" spans="3:4" ht="15" customHeight="1">
      <c r="C184" s="614">
        <v>120</v>
      </c>
      <c r="D184" s="615">
        <v>12.4</v>
      </c>
    </row>
    <row r="185" spans="3:4" ht="15" customHeight="1">
      <c r="C185" s="614">
        <v>121</v>
      </c>
      <c r="D185" s="615">
        <v>12</v>
      </c>
    </row>
    <row r="186" spans="3:4" ht="15" customHeight="1">
      <c r="C186" s="614">
        <v>122</v>
      </c>
      <c r="D186" s="615">
        <v>12.4</v>
      </c>
    </row>
    <row r="187" spans="3:4" ht="15" customHeight="1">
      <c r="C187" s="614">
        <v>123</v>
      </c>
      <c r="D187" s="615">
        <v>12.09</v>
      </c>
    </row>
    <row r="188" spans="3:4" ht="15" customHeight="1">
      <c r="C188" s="614">
        <v>124</v>
      </c>
      <c r="D188" s="615">
        <v>12.1</v>
      </c>
    </row>
    <row r="189" spans="3:4" ht="15" customHeight="1">
      <c r="C189" s="614">
        <v>125</v>
      </c>
      <c r="D189" s="615">
        <v>12.23</v>
      </c>
    </row>
    <row r="190" spans="3:4" ht="15" customHeight="1">
      <c r="C190" s="614">
        <v>126</v>
      </c>
      <c r="D190" s="615">
        <v>11.73</v>
      </c>
    </row>
    <row r="191" spans="3:4" ht="15" customHeight="1">
      <c r="C191" s="614">
        <v>127</v>
      </c>
      <c r="D191" s="615">
        <v>11.98</v>
      </c>
    </row>
    <row r="192" spans="3:4" ht="15" customHeight="1">
      <c r="C192" s="614">
        <v>128</v>
      </c>
      <c r="D192" s="615">
        <v>11.43</v>
      </c>
    </row>
    <row r="193" spans="3:4" ht="15" customHeight="1">
      <c r="C193" s="614">
        <v>129</v>
      </c>
      <c r="D193" s="615">
        <v>12.42</v>
      </c>
    </row>
    <row r="194" spans="3:4" ht="15" customHeight="1">
      <c r="C194" s="614">
        <v>130</v>
      </c>
      <c r="D194" s="615">
        <v>11.99</v>
      </c>
    </row>
    <row r="195" spans="3:4" ht="15" customHeight="1">
      <c r="C195" s="614">
        <v>131</v>
      </c>
      <c r="D195" s="615">
        <v>12.23</v>
      </c>
    </row>
    <row r="196" spans="3:4" ht="15" customHeight="1">
      <c r="C196" s="614">
        <v>132</v>
      </c>
      <c r="D196" s="615">
        <v>12.19</v>
      </c>
    </row>
    <row r="197" spans="3:4" ht="15" customHeight="1">
      <c r="C197" s="614">
        <v>133</v>
      </c>
      <c r="D197" s="615">
        <v>9.3800000000000008</v>
      </c>
    </row>
    <row r="198" spans="3:4" ht="15" customHeight="1">
      <c r="C198" s="614">
        <v>134</v>
      </c>
      <c r="D198" s="615">
        <v>9.4</v>
      </c>
    </row>
    <row r="199" spans="3:4" ht="15" customHeight="1">
      <c r="C199" s="614">
        <v>135</v>
      </c>
      <c r="D199" s="615">
        <v>9.1300000000000008</v>
      </c>
    </row>
    <row r="200" spans="3:4" ht="15" customHeight="1">
      <c r="C200" s="614">
        <v>136</v>
      </c>
      <c r="D200" s="615">
        <v>9.4</v>
      </c>
    </row>
    <row r="201" spans="3:4" ht="15" customHeight="1">
      <c r="C201" s="614">
        <v>137</v>
      </c>
      <c r="D201" s="615">
        <v>9.85</v>
      </c>
    </row>
    <row r="202" spans="3:4" ht="15" customHeight="1">
      <c r="C202" s="614">
        <v>138</v>
      </c>
      <c r="D202" s="615">
        <v>9.18</v>
      </c>
    </row>
    <row r="203" spans="3:4" ht="15" customHeight="1">
      <c r="C203" s="614">
        <v>139</v>
      </c>
      <c r="D203" s="615">
        <v>9.4499999999999993</v>
      </c>
    </row>
    <row r="204" spans="3:4" ht="15" customHeight="1">
      <c r="C204" s="614">
        <v>140</v>
      </c>
      <c r="D204" s="615">
        <v>9.41</v>
      </c>
    </row>
    <row r="205" spans="3:4" ht="15" customHeight="1">
      <c r="C205" s="614">
        <v>141</v>
      </c>
      <c r="D205" s="615">
        <v>9.2799999999999994</v>
      </c>
    </row>
    <row r="206" spans="3:4" ht="15" customHeight="1">
      <c r="C206" s="614">
        <v>142</v>
      </c>
      <c r="D206" s="615">
        <v>8.98</v>
      </c>
    </row>
    <row r="207" spans="3:4" ht="15" customHeight="1">
      <c r="C207" s="614">
        <v>143</v>
      </c>
      <c r="D207" s="615">
        <v>9.0299999999999994</v>
      </c>
    </row>
    <row r="208" spans="3:4" ht="15" customHeight="1">
      <c r="C208" s="614">
        <v>144</v>
      </c>
      <c r="D208" s="615">
        <v>9.2200000000000006</v>
      </c>
    </row>
    <row r="209" spans="3:4" ht="15" customHeight="1">
      <c r="C209" s="614">
        <v>145</v>
      </c>
      <c r="D209" s="615">
        <v>9.34</v>
      </c>
    </row>
    <row r="210" spans="3:4" ht="15" customHeight="1">
      <c r="C210" s="614">
        <v>146</v>
      </c>
      <c r="D210" s="615">
        <v>9.43</v>
      </c>
    </row>
    <row r="211" spans="3:4" ht="15" customHeight="1">
      <c r="C211" s="614">
        <v>147</v>
      </c>
      <c r="D211" s="615">
        <v>8.91</v>
      </c>
    </row>
    <row r="212" spans="3:4" ht="15" customHeight="1">
      <c r="C212" s="614">
        <v>148</v>
      </c>
      <c r="D212" s="615">
        <v>9.43</v>
      </c>
    </row>
    <row r="213" spans="3:4" ht="15" customHeight="1">
      <c r="C213" s="614">
        <v>149</v>
      </c>
      <c r="D213" s="615">
        <v>9.25</v>
      </c>
    </row>
    <row r="214" spans="3:4" ht="15" customHeight="1">
      <c r="C214" s="614">
        <v>150</v>
      </c>
      <c r="D214" s="615">
        <v>9.34</v>
      </c>
    </row>
    <row r="215" spans="3:4" ht="15" customHeight="1">
      <c r="C215" s="614">
        <v>151</v>
      </c>
      <c r="D215" s="615">
        <v>9.42</v>
      </c>
    </row>
    <row r="216" spans="3:4" ht="15" customHeight="1">
      <c r="C216" s="614">
        <v>152</v>
      </c>
      <c r="D216" s="615">
        <v>9.25</v>
      </c>
    </row>
    <row r="217" spans="3:4" ht="15" customHeight="1">
      <c r="C217" s="614">
        <v>153</v>
      </c>
      <c r="D217" s="615">
        <v>8.57</v>
      </c>
    </row>
    <row r="218" spans="3:4" ht="15" customHeight="1">
      <c r="C218" s="614">
        <v>154</v>
      </c>
      <c r="D218" s="615">
        <v>9.34</v>
      </c>
    </row>
    <row r="219" spans="3:4" ht="15" customHeight="1">
      <c r="C219" s="614">
        <v>155</v>
      </c>
      <c r="D219" s="615">
        <v>9.4</v>
      </c>
    </row>
    <row r="220" spans="3:4" ht="15" customHeight="1">
      <c r="C220" s="614">
        <v>156</v>
      </c>
      <c r="D220" s="615">
        <v>9.35</v>
      </c>
    </row>
    <row r="221" spans="3:4" ht="15" customHeight="1">
      <c r="C221" s="614">
        <v>157</v>
      </c>
      <c r="D221" s="615">
        <v>9.2799999999999994</v>
      </c>
    </row>
    <row r="222" spans="3:4" ht="15" customHeight="1">
      <c r="C222" s="614">
        <v>158</v>
      </c>
      <c r="D222" s="615">
        <v>9.4</v>
      </c>
    </row>
    <row r="223" spans="3:4" ht="15" customHeight="1">
      <c r="C223" s="614">
        <v>159</v>
      </c>
      <c r="D223" s="615">
        <v>9.98</v>
      </c>
    </row>
    <row r="224" spans="3:4" ht="15" customHeight="1">
      <c r="C224" s="614">
        <v>160</v>
      </c>
      <c r="D224" s="615">
        <v>9.5</v>
      </c>
    </row>
    <row r="225" spans="3:4" ht="15" customHeight="1">
      <c r="C225" s="614">
        <v>161</v>
      </c>
      <c r="D225" s="615">
        <v>9.25</v>
      </c>
    </row>
    <row r="226" spans="3:4" ht="15" customHeight="1">
      <c r="C226" s="614">
        <v>162</v>
      </c>
      <c r="D226" s="615">
        <v>8.9499999999999993</v>
      </c>
    </row>
    <row r="227" spans="3:4" ht="15" customHeight="1">
      <c r="C227" s="614">
        <v>163</v>
      </c>
      <c r="D227" s="615">
        <v>9.32</v>
      </c>
    </row>
    <row r="228" spans="3:4" ht="15" customHeight="1">
      <c r="C228" s="614">
        <v>164</v>
      </c>
      <c r="D228" s="615">
        <v>8.91</v>
      </c>
    </row>
    <row r="229" spans="3:4" ht="15" customHeight="1">
      <c r="C229" s="614">
        <v>165</v>
      </c>
      <c r="D229" s="615">
        <v>9.17</v>
      </c>
    </row>
    <row r="230" spans="3:4" ht="15" customHeight="1">
      <c r="C230" s="614">
        <v>166</v>
      </c>
      <c r="D230" s="615">
        <v>8.9</v>
      </c>
    </row>
    <row r="231" spans="3:4" ht="15" customHeight="1">
      <c r="C231" s="614">
        <v>167</v>
      </c>
      <c r="D231" s="615">
        <v>9.15</v>
      </c>
    </row>
    <row r="232" spans="3:4" ht="15" customHeight="1">
      <c r="C232" s="614">
        <v>168</v>
      </c>
      <c r="D232" s="615">
        <v>8.94</v>
      </c>
    </row>
    <row r="233" spans="3:4" ht="15" customHeight="1">
      <c r="C233" s="614">
        <v>169</v>
      </c>
      <c r="D233" s="615">
        <v>9.0500000000000007</v>
      </c>
    </row>
    <row r="234" spans="3:4" ht="15" customHeight="1">
      <c r="C234" s="614">
        <v>170</v>
      </c>
      <c r="D234" s="615">
        <v>9.2799999999999994</v>
      </c>
    </row>
    <row r="235" spans="3:4" ht="15" customHeight="1">
      <c r="C235" s="614">
        <v>171</v>
      </c>
      <c r="D235" s="615">
        <v>9.08</v>
      </c>
    </row>
    <row r="236" spans="3:4" ht="15" customHeight="1">
      <c r="C236" s="614">
        <v>172</v>
      </c>
      <c r="D236" s="615">
        <v>9.51</v>
      </c>
    </row>
    <row r="237" spans="3:4" ht="15" customHeight="1">
      <c r="C237" s="614">
        <v>173</v>
      </c>
      <c r="D237" s="615">
        <v>9.58</v>
      </c>
    </row>
    <row r="238" spans="3:4" ht="15" customHeight="1">
      <c r="C238" s="614">
        <v>174</v>
      </c>
      <c r="D238" s="615">
        <v>9.02</v>
      </c>
    </row>
    <row r="239" spans="3:4" ht="15" customHeight="1">
      <c r="C239" s="614">
        <v>175</v>
      </c>
      <c r="D239" s="615">
        <v>9.5500000000000007</v>
      </c>
    </row>
    <row r="240" spans="3:4" ht="15" customHeight="1">
      <c r="C240" s="614">
        <v>176</v>
      </c>
      <c r="D240" s="615">
        <v>9.52</v>
      </c>
    </row>
    <row r="241" spans="3:4" ht="15" customHeight="1">
      <c r="C241" s="614">
        <v>177</v>
      </c>
      <c r="D241" s="615">
        <v>9.59</v>
      </c>
    </row>
    <row r="242" spans="3:4" ht="15" customHeight="1">
      <c r="C242" s="614">
        <v>178</v>
      </c>
      <c r="D242" s="615">
        <v>9.26</v>
      </c>
    </row>
    <row r="243" spans="3:4" ht="15" customHeight="1">
      <c r="C243" s="614">
        <v>179</v>
      </c>
      <c r="D243" s="615">
        <v>9.6199999999999992</v>
      </c>
    </row>
    <row r="244" spans="3:4" ht="15" customHeight="1">
      <c r="C244" s="614">
        <v>180</v>
      </c>
      <c r="D244" s="615">
        <v>9.69</v>
      </c>
    </row>
    <row r="245" spans="3:4" ht="15" customHeight="1">
      <c r="C245" s="614">
        <v>181</v>
      </c>
      <c r="D245" s="615">
        <v>9.0299999999999994</v>
      </c>
    </row>
    <row r="246" spans="3:4" ht="15" customHeight="1">
      <c r="C246" s="614">
        <v>182</v>
      </c>
      <c r="D246" s="615">
        <v>11.41</v>
      </c>
    </row>
    <row r="247" spans="3:4" ht="15" customHeight="1">
      <c r="C247" s="614">
        <v>183</v>
      </c>
      <c r="D247" s="615">
        <v>11.91</v>
      </c>
    </row>
    <row r="248" spans="3:4" ht="15" customHeight="1">
      <c r="C248" s="614">
        <v>184</v>
      </c>
      <c r="D248" s="615">
        <v>11.43</v>
      </c>
    </row>
    <row r="249" spans="3:4" ht="15" customHeight="1">
      <c r="C249" s="614">
        <v>185</v>
      </c>
      <c r="D249" s="615">
        <v>11.49</v>
      </c>
    </row>
    <row r="250" spans="3:4" ht="15" customHeight="1">
      <c r="C250" s="614">
        <v>186</v>
      </c>
      <c r="D250" s="615">
        <v>11.47</v>
      </c>
    </row>
    <row r="251" spans="3:4" ht="15" customHeight="1">
      <c r="C251" s="614">
        <v>187</v>
      </c>
      <c r="D251" s="615">
        <v>11.21</v>
      </c>
    </row>
    <row r="252" spans="3:4" ht="15" customHeight="1">
      <c r="C252" s="614">
        <v>188</v>
      </c>
      <c r="D252" s="615">
        <v>11.5</v>
      </c>
    </row>
    <row r="253" spans="3:4" ht="15" customHeight="1">
      <c r="C253" s="614">
        <v>189</v>
      </c>
      <c r="D253" s="615">
        <v>11.44</v>
      </c>
    </row>
    <row r="254" spans="3:4" ht="15" customHeight="1">
      <c r="C254" s="614">
        <v>190</v>
      </c>
      <c r="D254" s="615">
        <v>11.15</v>
      </c>
    </row>
    <row r="255" spans="3:4" ht="15" customHeight="1">
      <c r="C255" s="614">
        <v>191</v>
      </c>
      <c r="D255" s="615">
        <v>11.64</v>
      </c>
    </row>
    <row r="256" spans="3:4" ht="15" customHeight="1">
      <c r="C256" s="614">
        <v>192</v>
      </c>
      <c r="D256" s="615">
        <v>11.11</v>
      </c>
    </row>
    <row r="257" spans="3:4" ht="15" customHeight="1">
      <c r="C257" s="614">
        <v>193</v>
      </c>
      <c r="D257" s="615">
        <v>11.1</v>
      </c>
    </row>
    <row r="258" spans="3:4" ht="15" customHeight="1">
      <c r="C258" s="614">
        <v>194</v>
      </c>
      <c r="D258" s="615">
        <v>11.55</v>
      </c>
    </row>
    <row r="259" spans="3:4" ht="15" customHeight="1">
      <c r="C259" s="614">
        <v>195</v>
      </c>
      <c r="D259" s="615">
        <v>10.56</v>
      </c>
    </row>
    <row r="260" spans="3:4" ht="15" customHeight="1">
      <c r="C260" s="614">
        <v>196</v>
      </c>
      <c r="D260" s="615">
        <v>11.27</v>
      </c>
    </row>
    <row r="261" spans="3:4" ht="15" customHeight="1">
      <c r="C261" s="614">
        <v>197</v>
      </c>
      <c r="D261" s="615">
        <v>17.170000000000002</v>
      </c>
    </row>
    <row r="262" spans="3:4" ht="15" customHeight="1">
      <c r="C262" s="614">
        <v>198</v>
      </c>
      <c r="D262" s="615">
        <v>16.690000000000001</v>
      </c>
    </row>
    <row r="263" spans="3:4" ht="15" customHeight="1">
      <c r="C263" s="614">
        <v>199</v>
      </c>
      <c r="D263" s="615">
        <v>15.38</v>
      </c>
    </row>
    <row r="264" spans="3:4" ht="15" customHeight="1">
      <c r="C264" s="614">
        <v>200</v>
      </c>
      <c r="D264" s="615">
        <v>15.96</v>
      </c>
    </row>
    <row r="265" spans="3:4" ht="15" customHeight="1">
      <c r="C265" s="614">
        <v>201</v>
      </c>
      <c r="D265" s="615">
        <v>16.399999999999999</v>
      </c>
    </row>
    <row r="266" spans="3:4" ht="15" customHeight="1">
      <c r="C266" s="614">
        <v>202</v>
      </c>
      <c r="D266" s="615">
        <v>15.98</v>
      </c>
    </row>
    <row r="267" spans="3:4" ht="15" customHeight="1">
      <c r="C267" s="614">
        <v>203</v>
      </c>
      <c r="D267" s="615">
        <v>16.38</v>
      </c>
    </row>
    <row r="268" spans="3:4" ht="15" customHeight="1">
      <c r="C268" s="614">
        <v>204</v>
      </c>
      <c r="D268" s="615">
        <v>16.559999999999999</v>
      </c>
    </row>
    <row r="269" spans="3:4" ht="15" customHeight="1">
      <c r="C269" s="614">
        <v>205</v>
      </c>
      <c r="D269" s="615">
        <v>16.48</v>
      </c>
    </row>
    <row r="270" spans="3:4" ht="15" customHeight="1">
      <c r="C270" s="614">
        <v>206</v>
      </c>
      <c r="D270" s="615">
        <v>12.49</v>
      </c>
    </row>
    <row r="271" spans="3:4" ht="15" customHeight="1">
      <c r="C271" s="614">
        <v>207</v>
      </c>
      <c r="D271" s="615">
        <v>13.13</v>
      </c>
    </row>
    <row r="272" spans="3:4" ht="15" customHeight="1">
      <c r="C272" s="614">
        <v>208</v>
      </c>
      <c r="D272" s="615">
        <v>12.7</v>
      </c>
    </row>
    <row r="273" spans="3:4" ht="15" customHeight="1">
      <c r="C273" s="614">
        <v>209</v>
      </c>
      <c r="D273" s="615">
        <v>12.39</v>
      </c>
    </row>
    <row r="274" spans="3:4" ht="15" customHeight="1">
      <c r="C274" s="614">
        <v>210</v>
      </c>
      <c r="D274" s="615">
        <v>12.43</v>
      </c>
    </row>
    <row r="275" spans="3:4" ht="15" customHeight="1">
      <c r="C275" s="614">
        <v>211</v>
      </c>
      <c r="D275" s="615">
        <v>12.31</v>
      </c>
    </row>
    <row r="276" spans="3:4" ht="15" customHeight="1">
      <c r="C276" s="614">
        <v>212</v>
      </c>
      <c r="D276" s="615">
        <v>12.63</v>
      </c>
    </row>
    <row r="277" spans="3:4" ht="15" customHeight="1">
      <c r="C277" s="614">
        <v>213</v>
      </c>
      <c r="D277" s="615">
        <v>12.74</v>
      </c>
    </row>
    <row r="278" spans="3:4" ht="15" customHeight="1">
      <c r="C278" s="614">
        <v>214</v>
      </c>
      <c r="D278" s="615">
        <v>12.7</v>
      </c>
    </row>
    <row r="279" spans="3:4" ht="15" customHeight="1">
      <c r="C279" s="614">
        <v>215</v>
      </c>
      <c r="D279" s="615">
        <v>12.74</v>
      </c>
    </row>
    <row r="280" spans="3:4" ht="15" customHeight="1">
      <c r="C280" s="614">
        <v>216</v>
      </c>
      <c r="D280" s="615">
        <v>12.31</v>
      </c>
    </row>
    <row r="281" spans="3:4" ht="15" customHeight="1">
      <c r="C281" s="614">
        <v>217</v>
      </c>
      <c r="D281" s="615">
        <v>12.85</v>
      </c>
    </row>
    <row r="282" spans="3:4" ht="15" customHeight="1">
      <c r="C282" s="614">
        <v>218</v>
      </c>
      <c r="D282" s="615">
        <v>12.25</v>
      </c>
    </row>
    <row r="283" spans="3:4" ht="15" customHeight="1">
      <c r="C283" s="614">
        <v>219</v>
      </c>
      <c r="D283" s="615">
        <v>13.07</v>
      </c>
    </row>
    <row r="284" spans="3:4" ht="15" customHeight="1">
      <c r="C284" s="614">
        <v>220</v>
      </c>
      <c r="D284" s="615">
        <v>13.31</v>
      </c>
    </row>
    <row r="285" spans="3:4" ht="15" customHeight="1">
      <c r="C285" s="614">
        <v>221</v>
      </c>
      <c r="D285" s="615">
        <v>12.54</v>
      </c>
    </row>
    <row r="286" spans="3:4" ht="15" customHeight="1">
      <c r="C286" s="614">
        <v>222</v>
      </c>
      <c r="D286" s="615">
        <v>12.1</v>
      </c>
    </row>
    <row r="287" spans="3:4" ht="15" customHeight="1">
      <c r="C287" s="614">
        <v>223</v>
      </c>
      <c r="D287" s="615">
        <v>12.82</v>
      </c>
    </row>
    <row r="288" spans="3:4" ht="15" customHeight="1">
      <c r="C288" s="614">
        <v>224</v>
      </c>
      <c r="D288" s="615">
        <v>12.46</v>
      </c>
    </row>
    <row r="289" spans="3:4" ht="15" customHeight="1">
      <c r="C289" s="614">
        <v>225</v>
      </c>
      <c r="D289" s="615">
        <v>12.96</v>
      </c>
    </row>
    <row r="290" spans="3:4" ht="15" customHeight="1">
      <c r="C290" s="614">
        <v>226</v>
      </c>
      <c r="D290" s="615">
        <v>13.12</v>
      </c>
    </row>
    <row r="291" spans="3:4" ht="15" customHeight="1">
      <c r="C291" s="614">
        <v>227</v>
      </c>
      <c r="D291" s="615">
        <v>12.31</v>
      </c>
    </row>
    <row r="292" spans="3:4" ht="15" customHeight="1">
      <c r="C292" s="614">
        <v>228</v>
      </c>
      <c r="D292" s="615">
        <v>12.69</v>
      </c>
    </row>
    <row r="293" spans="3:4" ht="15" customHeight="1">
      <c r="C293" s="614">
        <v>229</v>
      </c>
      <c r="D293" s="615">
        <v>13.16</v>
      </c>
    </row>
    <row r="294" spans="3:4" ht="15" customHeight="1">
      <c r="C294" s="614">
        <v>230</v>
      </c>
      <c r="D294" s="615">
        <v>12.43</v>
      </c>
    </row>
    <row r="295" spans="3:4" ht="15" customHeight="1">
      <c r="C295" s="614">
        <v>231</v>
      </c>
      <c r="D295" s="615">
        <v>12.44</v>
      </c>
    </row>
    <row r="296" spans="3:4" ht="15" customHeight="1">
      <c r="C296" s="614">
        <v>232</v>
      </c>
      <c r="D296" s="615">
        <v>12.19</v>
      </c>
    </row>
    <row r="297" spans="3:4" ht="15" customHeight="1">
      <c r="C297" s="614">
        <v>233</v>
      </c>
      <c r="D297" s="615">
        <v>12.99</v>
      </c>
    </row>
    <row r="298" spans="3:4" ht="15" customHeight="1">
      <c r="C298" s="614">
        <v>234</v>
      </c>
      <c r="D298" s="615">
        <v>12.4</v>
      </c>
    </row>
    <row r="299" spans="3:4" ht="15" customHeight="1">
      <c r="C299" s="614">
        <v>235</v>
      </c>
      <c r="D299" s="615">
        <v>12.08</v>
      </c>
    </row>
    <row r="300" spans="3:4" ht="15" customHeight="1">
      <c r="C300" s="614">
        <v>236</v>
      </c>
      <c r="D300" s="615">
        <v>12.34</v>
      </c>
    </row>
    <row r="301" spans="3:4" ht="15" customHeight="1">
      <c r="C301" s="614">
        <v>237</v>
      </c>
      <c r="D301" s="615">
        <v>12.59</v>
      </c>
    </row>
    <row r="302" spans="3:4" ht="15" customHeight="1">
      <c r="C302" s="614">
        <v>238</v>
      </c>
      <c r="D302" s="615">
        <v>12.44</v>
      </c>
    </row>
    <row r="303" spans="3:4" ht="15" customHeight="1">
      <c r="C303" s="614">
        <v>239</v>
      </c>
      <c r="D303" s="615">
        <v>12.3</v>
      </c>
    </row>
    <row r="304" spans="3:4" ht="15" customHeight="1">
      <c r="C304" s="614">
        <v>240</v>
      </c>
      <c r="D304" s="615">
        <v>13.06</v>
      </c>
    </row>
    <row r="305" spans="3:4" ht="15" customHeight="1">
      <c r="C305" s="614">
        <v>241</v>
      </c>
      <c r="D305" s="615">
        <v>12.46</v>
      </c>
    </row>
    <row r="306" spans="3:4" ht="15" customHeight="1">
      <c r="C306" s="614">
        <v>242</v>
      </c>
      <c r="D306" s="615">
        <v>13.66</v>
      </c>
    </row>
    <row r="307" spans="3:4" ht="15" customHeight="1">
      <c r="C307" s="614">
        <v>243</v>
      </c>
      <c r="D307" s="615">
        <v>13.28</v>
      </c>
    </row>
    <row r="308" spans="3:4" ht="15" customHeight="1">
      <c r="C308" s="614">
        <v>244</v>
      </c>
      <c r="D308" s="615">
        <v>12.73</v>
      </c>
    </row>
    <row r="309" spans="3:4" ht="15" customHeight="1">
      <c r="C309" s="614">
        <v>245</v>
      </c>
      <c r="D309" s="615">
        <v>12.46</v>
      </c>
    </row>
    <row r="310" spans="3:4" ht="15" customHeight="1">
      <c r="C310" s="614">
        <v>246</v>
      </c>
      <c r="D310" s="615">
        <v>13.12</v>
      </c>
    </row>
    <row r="311" spans="3:4" ht="15" customHeight="1">
      <c r="C311" s="614">
        <v>247</v>
      </c>
      <c r="D311" s="615">
        <v>13.3</v>
      </c>
    </row>
    <row r="312" spans="3:4" ht="15" customHeight="1">
      <c r="C312" s="614">
        <v>248</v>
      </c>
      <c r="D312" s="615">
        <v>12.45</v>
      </c>
    </row>
    <row r="313" spans="3:4" ht="15" customHeight="1">
      <c r="C313" s="614">
        <v>249</v>
      </c>
      <c r="D313" s="615">
        <v>12.77</v>
      </c>
    </row>
    <row r="314" spans="3:4" ht="15" customHeight="1">
      <c r="C314" s="614">
        <v>250</v>
      </c>
      <c r="D314" s="615">
        <v>13.61</v>
      </c>
    </row>
    <row r="315" spans="3:4" ht="15" customHeight="1">
      <c r="C315" s="614">
        <v>251</v>
      </c>
      <c r="D315" s="615">
        <v>12.87</v>
      </c>
    </row>
    <row r="316" spans="3:4" ht="15" customHeight="1">
      <c r="C316" s="614">
        <v>252</v>
      </c>
      <c r="D316" s="615">
        <v>12.79</v>
      </c>
    </row>
    <row r="317" spans="3:4" ht="15" customHeight="1">
      <c r="C317" s="614">
        <v>253</v>
      </c>
      <c r="D317" s="615">
        <v>12.82</v>
      </c>
    </row>
    <row r="318" spans="3:4" ht="15" customHeight="1">
      <c r="C318" s="614">
        <v>254</v>
      </c>
      <c r="D318" s="615">
        <v>12.21</v>
      </c>
    </row>
    <row r="319" spans="3:4" ht="15" customHeight="1" thickBot="1">
      <c r="C319" s="616">
        <v>255</v>
      </c>
      <c r="D319" s="617">
        <v>12.23</v>
      </c>
    </row>
  </sheetData>
  <mergeCells count="12">
    <mergeCell ref="N5:P5"/>
    <mergeCell ref="M6:R6"/>
    <mergeCell ref="U7:X7"/>
    <mergeCell ref="C62:D62"/>
    <mergeCell ref="C63:C64"/>
    <mergeCell ref="D63:D64"/>
    <mergeCell ref="C3:L3"/>
    <mergeCell ref="C4:D4"/>
    <mergeCell ref="E4:F4"/>
    <mergeCell ref="H4:I4"/>
    <mergeCell ref="J4:K4"/>
    <mergeCell ref="U4:W4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4"/>
  <sheetViews>
    <sheetView view="pageBreakPreview" topLeftCell="A4" zoomScaleNormal="100" zoomScaleSheetLayoutView="100" workbookViewId="0">
      <selection activeCell="Q27" sqref="Q27"/>
    </sheetView>
  </sheetViews>
  <sheetFormatPr baseColWidth="10" defaultColWidth="11.5" defaultRowHeight="15"/>
  <cols>
    <col min="1" max="1" width="3.1640625" style="271" customWidth="1"/>
    <col min="2" max="2" width="2.6640625" style="274" customWidth="1"/>
    <col min="3" max="3" width="11.33203125" style="274" customWidth="1"/>
    <col min="4" max="13" width="9.5" style="274" customWidth="1"/>
    <col min="14" max="14" width="2.83203125" style="274" customWidth="1"/>
    <col min="15" max="16" width="9.6640625" style="274" customWidth="1"/>
    <col min="17" max="20" width="11.5" style="274"/>
    <col min="21" max="16384" width="11.5" style="271"/>
  </cols>
  <sheetData>
    <row r="1" spans="2:20" ht="15.75" thickBot="1"/>
    <row r="2" spans="2:20" ht="15.75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20" ht="15" customHeight="1">
      <c r="B3" s="159"/>
      <c r="C3" s="160"/>
      <c r="D3" s="439" t="s">
        <v>144</v>
      </c>
      <c r="E3" s="439"/>
      <c r="F3" s="439"/>
      <c r="G3" s="439"/>
      <c r="H3" s="439"/>
      <c r="I3" s="439"/>
      <c r="J3" s="439"/>
      <c r="K3" s="439"/>
      <c r="L3" s="161"/>
      <c r="M3" s="162"/>
      <c r="N3" s="163"/>
    </row>
    <row r="4" spans="2:20">
      <c r="B4" s="159"/>
      <c r="C4" s="164"/>
      <c r="D4" s="440"/>
      <c r="E4" s="440"/>
      <c r="F4" s="440"/>
      <c r="G4" s="440"/>
      <c r="H4" s="440"/>
      <c r="I4" s="440"/>
      <c r="J4" s="440"/>
      <c r="K4" s="440"/>
      <c r="L4" s="165"/>
      <c r="M4" s="166"/>
      <c r="N4" s="163"/>
    </row>
    <row r="5" spans="2:20">
      <c r="B5" s="159"/>
      <c r="C5" s="164"/>
      <c r="D5" s="440"/>
      <c r="E5" s="440"/>
      <c r="F5" s="440"/>
      <c r="G5" s="440"/>
      <c r="H5" s="440"/>
      <c r="I5" s="440"/>
      <c r="J5" s="440"/>
      <c r="K5" s="440"/>
      <c r="L5" s="165"/>
      <c r="M5" s="166"/>
      <c r="N5" s="163"/>
    </row>
    <row r="6" spans="2:20" ht="15.75" thickBot="1">
      <c r="B6" s="159"/>
      <c r="C6" s="167"/>
      <c r="D6" s="441"/>
      <c r="E6" s="441"/>
      <c r="F6" s="441"/>
      <c r="G6" s="441"/>
      <c r="H6" s="441"/>
      <c r="I6" s="441"/>
      <c r="J6" s="441"/>
      <c r="K6" s="441"/>
      <c r="L6" s="168"/>
      <c r="M6" s="169"/>
      <c r="N6" s="163"/>
    </row>
    <row r="7" spans="2:20" ht="15.75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20">
      <c r="B8" s="159"/>
      <c r="C8" s="183" t="s">
        <v>0</v>
      </c>
      <c r="D8" s="483">
        <f>Datos!D8</f>
        <v>0</v>
      </c>
      <c r="E8" s="483"/>
      <c r="F8" s="483"/>
      <c r="G8" s="483"/>
      <c r="H8" s="483"/>
      <c r="I8" s="483"/>
      <c r="J8" s="157"/>
      <c r="K8" s="39" t="s">
        <v>49</v>
      </c>
      <c r="L8" s="476" t="str">
        <f>Datos!J8</f>
        <v/>
      </c>
      <c r="M8" s="477"/>
      <c r="N8" s="163"/>
    </row>
    <row r="9" spans="2:20">
      <c r="B9" s="159"/>
      <c r="C9" s="184" t="s">
        <v>8</v>
      </c>
      <c r="D9" s="484">
        <f>Datos!D9</f>
        <v>0</v>
      </c>
      <c r="E9" s="484"/>
      <c r="F9" s="484"/>
      <c r="G9" s="484"/>
      <c r="H9" s="484"/>
      <c r="I9" s="484"/>
      <c r="J9" s="174"/>
      <c r="K9" s="85" t="s">
        <v>50</v>
      </c>
      <c r="L9" s="478">
        <f>Datos!J9</f>
        <v>0</v>
      </c>
      <c r="M9" s="479"/>
      <c r="N9" s="163"/>
    </row>
    <row r="10" spans="2:20" ht="15.75" thickBot="1">
      <c r="B10" s="159"/>
      <c r="C10" s="185" t="s">
        <v>1</v>
      </c>
      <c r="D10" s="482">
        <f>Datos!D10</f>
        <v>0</v>
      </c>
      <c r="E10" s="482"/>
      <c r="F10" s="482"/>
      <c r="G10" s="482"/>
      <c r="H10" s="482"/>
      <c r="I10" s="482"/>
      <c r="J10" s="176"/>
      <c r="K10" s="87" t="s">
        <v>51</v>
      </c>
      <c r="L10" s="480" t="str">
        <f>CONCATENATE(Datos!J10," ",Datos!K10," ",Datos!L10)</f>
        <v xml:space="preserve"> a  </v>
      </c>
      <c r="M10" s="481"/>
      <c r="N10" s="163"/>
    </row>
    <row r="11" spans="2:20" s="272" customFormat="1" ht="15.75" thickBot="1">
      <c r="B11" s="331"/>
      <c r="C11" s="305"/>
      <c r="D11" s="300"/>
      <c r="E11" s="300"/>
      <c r="F11" s="300"/>
      <c r="G11" s="300"/>
      <c r="H11" s="300"/>
      <c r="I11" s="301"/>
      <c r="J11" s="301"/>
      <c r="K11" s="301"/>
      <c r="L11" s="301"/>
      <c r="M11" s="306"/>
      <c r="N11" s="332"/>
    </row>
    <row r="12" spans="2:20" ht="15.75" thickBot="1">
      <c r="B12" s="314"/>
      <c r="C12" s="307"/>
      <c r="D12" s="302"/>
      <c r="E12" s="302"/>
      <c r="F12" s="302"/>
      <c r="G12" s="302"/>
      <c r="H12" s="303"/>
      <c r="I12" s="303"/>
      <c r="J12" s="302"/>
      <c r="K12" s="302"/>
      <c r="L12" s="302"/>
      <c r="M12" s="308"/>
      <c r="N12" s="333"/>
      <c r="Q12" s="271"/>
      <c r="R12" s="271"/>
      <c r="S12" s="271"/>
      <c r="T12" s="271"/>
    </row>
    <row r="13" spans="2:20" ht="15.75" thickBot="1">
      <c r="B13" s="314"/>
      <c r="C13" s="336"/>
      <c r="D13" s="317"/>
      <c r="E13" s="317"/>
      <c r="F13" s="317"/>
      <c r="G13" s="317"/>
      <c r="H13" s="303"/>
      <c r="I13" s="303"/>
      <c r="J13" s="302"/>
      <c r="K13" s="302"/>
      <c r="L13" s="302"/>
      <c r="M13" s="308"/>
      <c r="N13" s="333"/>
      <c r="Q13" s="271"/>
      <c r="R13" s="271"/>
      <c r="S13" s="271"/>
      <c r="T13" s="271"/>
    </row>
    <row r="14" spans="2:20" ht="15.75" thickBot="1">
      <c r="B14" s="314"/>
      <c r="C14" s="473" t="s">
        <v>138</v>
      </c>
      <c r="D14" s="474"/>
      <c r="E14" s="474"/>
      <c r="F14" s="474"/>
      <c r="G14" s="475"/>
      <c r="H14" s="316"/>
      <c r="I14" s="303"/>
      <c r="J14" s="302"/>
      <c r="K14" s="302"/>
      <c r="L14" s="302"/>
      <c r="M14" s="308"/>
      <c r="N14" s="333"/>
      <c r="Q14" s="271"/>
      <c r="R14" s="271"/>
      <c r="S14" s="271"/>
      <c r="T14" s="271"/>
    </row>
    <row r="15" spans="2:20" ht="39" thickBot="1">
      <c r="B15" s="314"/>
      <c r="C15" s="319" t="s">
        <v>105</v>
      </c>
      <c r="D15" s="320" t="s">
        <v>106</v>
      </c>
      <c r="E15" s="320" t="s">
        <v>107</v>
      </c>
      <c r="F15" s="320" t="s">
        <v>108</v>
      </c>
      <c r="G15" s="321" t="s">
        <v>124</v>
      </c>
      <c r="H15" s="316"/>
      <c r="I15" s="303"/>
      <c r="J15" s="302"/>
      <c r="K15" s="302"/>
      <c r="L15" s="302"/>
      <c r="M15" s="308"/>
      <c r="N15" s="333"/>
      <c r="Q15" s="271"/>
      <c r="R15" s="271"/>
      <c r="S15" s="271"/>
      <c r="T15" s="271"/>
    </row>
    <row r="16" spans="2:20" ht="15.75" thickBot="1">
      <c r="B16" s="314"/>
      <c r="C16" s="340"/>
      <c r="D16" s="341"/>
      <c r="E16" s="341"/>
      <c r="F16" s="338" t="e">
        <f>AVERAGE(C16:E16)</f>
        <v>#DIV/0!</v>
      </c>
      <c r="G16" s="277"/>
      <c r="H16" s="316"/>
      <c r="I16" s="303"/>
      <c r="J16" s="302"/>
      <c r="K16" s="302"/>
      <c r="L16" s="302"/>
      <c r="M16" s="308"/>
      <c r="N16" s="333"/>
      <c r="Q16" s="271"/>
      <c r="R16" s="271"/>
      <c r="S16" s="271"/>
      <c r="T16" s="271"/>
    </row>
    <row r="17" spans="2:20" ht="15.75" thickBot="1">
      <c r="B17" s="314"/>
      <c r="C17" s="340"/>
      <c r="D17" s="341"/>
      <c r="E17" s="341"/>
      <c r="F17" s="338" t="e">
        <f t="shared" ref="F17:F20" si="0">AVERAGE(C17:E17)</f>
        <v>#DIV/0!</v>
      </c>
      <c r="G17" s="277"/>
      <c r="H17" s="316"/>
      <c r="I17" s="303"/>
      <c r="J17" s="302"/>
      <c r="K17" s="302"/>
      <c r="L17" s="302"/>
      <c r="M17" s="308"/>
      <c r="N17" s="333"/>
      <c r="Q17" s="271"/>
      <c r="R17" s="271"/>
      <c r="S17" s="271"/>
      <c r="T17" s="271"/>
    </row>
    <row r="18" spans="2:20" ht="15.75" thickBot="1">
      <c r="B18" s="315"/>
      <c r="C18" s="340"/>
      <c r="D18" s="341"/>
      <c r="E18" s="341"/>
      <c r="F18" s="338" t="e">
        <f t="shared" si="0"/>
        <v>#DIV/0!</v>
      </c>
      <c r="G18" s="277"/>
      <c r="H18" s="316"/>
      <c r="I18" s="302"/>
      <c r="J18" s="302"/>
      <c r="K18" s="302"/>
      <c r="L18" s="302"/>
      <c r="M18" s="308"/>
      <c r="N18" s="333"/>
      <c r="Q18" s="271"/>
      <c r="R18" s="271"/>
      <c r="S18" s="271"/>
      <c r="T18" s="271"/>
    </row>
    <row r="19" spans="2:20" ht="15.75" thickBot="1">
      <c r="B19" s="314"/>
      <c r="C19" s="340"/>
      <c r="D19" s="341"/>
      <c r="E19" s="341"/>
      <c r="F19" s="338" t="e">
        <f t="shared" si="0"/>
        <v>#DIV/0!</v>
      </c>
      <c r="G19" s="277"/>
      <c r="H19" s="316"/>
      <c r="I19" s="302"/>
      <c r="J19" s="302"/>
      <c r="K19" s="302"/>
      <c r="L19" s="302"/>
      <c r="M19" s="308"/>
      <c r="N19" s="334"/>
      <c r="Q19" s="271"/>
      <c r="R19" s="271"/>
      <c r="S19" s="271"/>
      <c r="T19" s="271"/>
    </row>
    <row r="20" spans="2:20" ht="15.75" thickBot="1">
      <c r="B20" s="314"/>
      <c r="C20" s="342"/>
      <c r="D20" s="343"/>
      <c r="E20" s="343"/>
      <c r="F20" s="339" t="e">
        <f t="shared" si="0"/>
        <v>#DIV/0!</v>
      </c>
      <c r="G20" s="280"/>
      <c r="H20" s="316"/>
      <c r="I20" s="302"/>
      <c r="J20" s="302"/>
      <c r="K20" s="302"/>
      <c r="L20" s="302"/>
      <c r="M20" s="308"/>
      <c r="N20" s="333"/>
      <c r="Q20" s="271"/>
      <c r="R20" s="271"/>
      <c r="S20" s="271"/>
      <c r="T20" s="271"/>
    </row>
    <row r="21" spans="2:20" ht="15.75" thickBot="1">
      <c r="B21" s="314"/>
      <c r="C21" s="346"/>
      <c r="D21" s="473" t="s">
        <v>140</v>
      </c>
      <c r="E21" s="474"/>
      <c r="F21" s="475"/>
      <c r="G21" s="347"/>
      <c r="H21" s="303"/>
      <c r="I21" s="302"/>
      <c r="J21" s="302"/>
      <c r="K21" s="302"/>
      <c r="L21" s="302"/>
      <c r="M21" s="308"/>
      <c r="N21" s="333"/>
      <c r="R21" s="271"/>
      <c r="S21" s="271"/>
      <c r="T21" s="271"/>
    </row>
    <row r="22" spans="2:20" ht="16.5" thickBot="1">
      <c r="B22" s="314"/>
      <c r="C22" s="314"/>
      <c r="D22" s="326" t="s">
        <v>141</v>
      </c>
      <c r="E22" s="329" t="s">
        <v>142</v>
      </c>
      <c r="F22" s="349" t="s">
        <v>143</v>
      </c>
      <c r="G22" s="348"/>
      <c r="H22" s="303"/>
      <c r="I22" s="302"/>
      <c r="J22" s="302"/>
      <c r="K22" s="302"/>
      <c r="L22" s="302"/>
      <c r="M22" s="308"/>
      <c r="N22" s="334"/>
      <c r="R22" s="271"/>
      <c r="S22" s="271"/>
      <c r="T22" s="271"/>
    </row>
    <row r="23" spans="2:20" ht="15.75" thickBot="1">
      <c r="B23" s="314"/>
      <c r="C23" s="314"/>
      <c r="D23" s="350" t="s">
        <v>86</v>
      </c>
      <c r="E23" s="351" t="s">
        <v>86</v>
      </c>
      <c r="F23" s="352"/>
      <c r="G23" s="348"/>
      <c r="H23" s="303"/>
      <c r="I23" s="302"/>
      <c r="J23" s="302"/>
      <c r="K23" s="302"/>
      <c r="L23" s="302"/>
      <c r="M23" s="308"/>
      <c r="N23" s="334"/>
      <c r="R23" s="271"/>
      <c r="S23" s="271"/>
      <c r="T23" s="271"/>
    </row>
    <row r="24" spans="2:20" ht="15.75" thickBot="1">
      <c r="B24" s="314"/>
      <c r="C24" s="307"/>
      <c r="D24" s="318"/>
      <c r="E24" s="318"/>
      <c r="F24" s="318"/>
      <c r="G24" s="302"/>
      <c r="H24" s="303"/>
      <c r="I24" s="303"/>
      <c r="J24" s="303"/>
      <c r="K24" s="303"/>
      <c r="L24" s="302"/>
      <c r="M24" s="308"/>
      <c r="N24" s="334"/>
      <c r="R24" s="271"/>
      <c r="S24" s="271"/>
      <c r="T24" s="271"/>
    </row>
    <row r="25" spans="2:20" ht="15.75" thickBot="1">
      <c r="B25" s="315"/>
      <c r="C25" s="309"/>
      <c r="D25" s="303"/>
      <c r="E25" s="303"/>
      <c r="F25" s="303"/>
      <c r="G25" s="303"/>
      <c r="H25" s="303"/>
      <c r="I25" s="303"/>
      <c r="J25" s="303"/>
      <c r="K25" s="303"/>
      <c r="L25" s="302"/>
      <c r="M25" s="308"/>
      <c r="N25" s="334"/>
      <c r="R25" s="271"/>
      <c r="S25" s="271"/>
      <c r="T25" s="271"/>
    </row>
    <row r="26" spans="2:20" ht="15.75" thickBot="1">
      <c r="B26" s="314"/>
      <c r="C26" s="307"/>
      <c r="D26" s="302"/>
      <c r="E26" s="302"/>
      <c r="F26" s="302"/>
      <c r="G26" s="302"/>
      <c r="H26" s="302"/>
      <c r="I26" s="302"/>
      <c r="J26" s="302"/>
      <c r="K26" s="302"/>
      <c r="L26" s="302"/>
      <c r="M26" s="310"/>
      <c r="N26" s="333"/>
      <c r="O26" s="271"/>
      <c r="P26" s="271"/>
      <c r="Q26" s="271"/>
      <c r="R26" s="271"/>
      <c r="S26" s="271"/>
      <c r="T26" s="271"/>
    </row>
    <row r="27" spans="2:20" ht="15.75" thickBot="1">
      <c r="B27" s="314"/>
      <c r="C27" s="473" t="s">
        <v>139</v>
      </c>
      <c r="D27" s="474"/>
      <c r="E27" s="474"/>
      <c r="F27" s="474"/>
      <c r="G27" s="475"/>
      <c r="H27" s="302"/>
      <c r="I27" s="302"/>
      <c r="J27" s="302"/>
      <c r="K27" s="302"/>
      <c r="L27" s="302"/>
      <c r="M27" s="310"/>
      <c r="N27" s="333"/>
      <c r="O27" s="271"/>
      <c r="P27" s="271"/>
      <c r="Q27" s="271"/>
      <c r="R27" s="271"/>
      <c r="S27" s="271"/>
      <c r="T27" s="271"/>
    </row>
    <row r="28" spans="2:20" ht="39" thickBot="1">
      <c r="B28" s="314"/>
      <c r="C28" s="319" t="s">
        <v>105</v>
      </c>
      <c r="D28" s="320" t="s">
        <v>106</v>
      </c>
      <c r="E28" s="320" t="s">
        <v>107</v>
      </c>
      <c r="F28" s="320" t="s">
        <v>108</v>
      </c>
      <c r="G28" s="321" t="s">
        <v>124</v>
      </c>
      <c r="H28" s="302"/>
      <c r="I28" s="302"/>
      <c r="J28" s="302"/>
      <c r="K28" s="302"/>
      <c r="L28" s="302"/>
      <c r="M28" s="310"/>
      <c r="N28" s="333"/>
      <c r="O28" s="271"/>
      <c r="P28" s="271"/>
      <c r="Q28" s="416">
        <f>(-0.0019*(E40)^2)-(0.0206*(E40))+679.19</f>
        <v>679.19</v>
      </c>
      <c r="R28" s="416">
        <f>(-0.0023*(E40)^2)-(0.0014*(E40))+689.61</f>
        <v>689.61</v>
      </c>
      <c r="S28" s="271"/>
      <c r="T28" s="271"/>
    </row>
    <row r="29" spans="2:20" ht="15.75" thickBot="1">
      <c r="B29" s="314"/>
      <c r="C29" s="275"/>
      <c r="D29" s="276"/>
      <c r="E29" s="276"/>
      <c r="F29" s="338" t="e">
        <f>AVERAGE(C29:E29)</f>
        <v>#DIV/0!</v>
      </c>
      <c r="G29" s="277"/>
      <c r="H29" s="302"/>
      <c r="I29" s="302"/>
      <c r="J29" s="302"/>
      <c r="K29" s="302"/>
      <c r="L29" s="302"/>
      <c r="M29" s="310"/>
      <c r="N29" s="333"/>
      <c r="O29" s="271"/>
      <c r="P29" s="271"/>
      <c r="Q29" s="271"/>
      <c r="R29" s="271"/>
      <c r="S29" s="271"/>
      <c r="T29" s="271"/>
    </row>
    <row r="30" spans="2:20" ht="15.75" thickBot="1">
      <c r="B30" s="315"/>
      <c r="C30" s="275"/>
      <c r="D30" s="276"/>
      <c r="E30" s="276"/>
      <c r="F30" s="338" t="e">
        <f t="shared" ref="F30:F33" si="1">AVERAGE(C30:E30)</f>
        <v>#DIV/0!</v>
      </c>
      <c r="G30" s="277"/>
      <c r="H30" s="302"/>
      <c r="I30" s="302"/>
      <c r="J30" s="302"/>
      <c r="K30" s="302"/>
      <c r="L30" s="302"/>
      <c r="M30" s="310"/>
      <c r="N30" s="334"/>
      <c r="Q30" s="271"/>
      <c r="R30" s="271"/>
      <c r="S30" s="271"/>
      <c r="T30" s="271"/>
    </row>
    <row r="31" spans="2:20" ht="15.75" thickBot="1">
      <c r="B31" s="315"/>
      <c r="C31" s="275"/>
      <c r="D31" s="276"/>
      <c r="E31" s="276"/>
      <c r="F31" s="338" t="e">
        <f t="shared" si="1"/>
        <v>#DIV/0!</v>
      </c>
      <c r="G31" s="277"/>
      <c r="H31" s="302"/>
      <c r="I31" s="302"/>
      <c r="J31" s="302"/>
      <c r="K31" s="302"/>
      <c r="L31" s="302"/>
      <c r="M31" s="310"/>
      <c r="N31" s="334"/>
    </row>
    <row r="32" spans="2:20" ht="15.75" thickBot="1">
      <c r="B32" s="315"/>
      <c r="C32" s="344"/>
      <c r="D32" s="345"/>
      <c r="E32" s="345"/>
      <c r="F32" s="338" t="e">
        <f t="shared" si="1"/>
        <v>#DIV/0!</v>
      </c>
      <c r="G32" s="277"/>
      <c r="H32" s="302"/>
      <c r="I32" s="302"/>
      <c r="J32" s="302"/>
      <c r="K32" s="302"/>
      <c r="L32" s="302"/>
      <c r="M32" s="310"/>
      <c r="N32" s="334"/>
    </row>
    <row r="33" spans="2:14" ht="15.75" thickBot="1">
      <c r="B33" s="315"/>
      <c r="C33" s="278"/>
      <c r="D33" s="279"/>
      <c r="E33" s="279"/>
      <c r="F33" s="338" t="e">
        <f t="shared" si="1"/>
        <v>#DIV/0!</v>
      </c>
      <c r="G33" s="277"/>
      <c r="H33" s="302"/>
      <c r="I33" s="303"/>
      <c r="J33" s="303"/>
      <c r="K33" s="303"/>
      <c r="L33" s="303"/>
      <c r="M33" s="310"/>
      <c r="N33" s="334"/>
    </row>
    <row r="34" spans="2:14" ht="15.75" thickBot="1">
      <c r="B34" s="315"/>
      <c r="C34" s="337"/>
      <c r="D34" s="473" t="s">
        <v>140</v>
      </c>
      <c r="E34" s="474"/>
      <c r="F34" s="475"/>
      <c r="G34" s="322"/>
      <c r="H34" s="303"/>
      <c r="I34" s="303"/>
      <c r="J34" s="303"/>
      <c r="K34" s="303"/>
      <c r="L34" s="303"/>
      <c r="M34" s="310"/>
      <c r="N34" s="334"/>
    </row>
    <row r="35" spans="2:14" ht="16.5" thickBot="1">
      <c r="B35" s="315"/>
      <c r="C35" s="309"/>
      <c r="D35" s="326" t="s">
        <v>141</v>
      </c>
      <c r="E35" s="329" t="s">
        <v>142</v>
      </c>
      <c r="F35" s="349" t="s">
        <v>143</v>
      </c>
      <c r="G35" s="303"/>
      <c r="H35" s="303"/>
      <c r="I35" s="303"/>
      <c r="J35" s="303"/>
      <c r="K35" s="303"/>
      <c r="L35" s="303"/>
      <c r="M35" s="310"/>
      <c r="N35" s="334"/>
    </row>
    <row r="36" spans="2:14" ht="15.75" thickBot="1">
      <c r="B36" s="315"/>
      <c r="C36" s="309"/>
      <c r="D36" s="350" t="s">
        <v>86</v>
      </c>
      <c r="E36" s="351" t="s">
        <v>86</v>
      </c>
      <c r="F36" s="352"/>
      <c r="G36" s="303"/>
      <c r="H36" s="303"/>
      <c r="I36" s="303"/>
      <c r="J36" s="303"/>
      <c r="K36" s="303"/>
      <c r="L36" s="303"/>
      <c r="M36" s="310"/>
      <c r="N36" s="334"/>
    </row>
    <row r="37" spans="2:14" ht="15.75" thickBot="1">
      <c r="B37" s="315"/>
      <c r="C37" s="309"/>
      <c r="D37" s="303"/>
      <c r="E37" s="303"/>
      <c r="F37" s="303"/>
      <c r="G37" s="303"/>
      <c r="H37" s="303"/>
      <c r="I37" s="303"/>
      <c r="J37" s="303"/>
      <c r="K37" s="303"/>
      <c r="L37" s="303"/>
      <c r="M37" s="310"/>
      <c r="N37" s="334"/>
    </row>
    <row r="38" spans="2:14" ht="15.75" thickBot="1">
      <c r="B38" s="315"/>
      <c r="C38" s="309"/>
      <c r="D38" s="304"/>
      <c r="E38" s="304"/>
      <c r="F38" s="304"/>
      <c r="G38" s="304"/>
      <c r="H38" s="304"/>
      <c r="I38" s="304"/>
      <c r="J38" s="304"/>
      <c r="K38" s="304"/>
      <c r="L38" s="304"/>
      <c r="M38" s="310"/>
      <c r="N38" s="334"/>
    </row>
    <row r="39" spans="2:14" ht="39" thickBot="1">
      <c r="B39" s="315"/>
      <c r="C39" s="315"/>
      <c r="D39" s="323" t="s">
        <v>109</v>
      </c>
      <c r="E39" s="324" t="s">
        <v>110</v>
      </c>
      <c r="F39" s="324" t="s">
        <v>125</v>
      </c>
      <c r="G39" s="324" t="s">
        <v>126</v>
      </c>
      <c r="H39" s="324" t="s">
        <v>111</v>
      </c>
      <c r="I39" s="324" t="s">
        <v>127</v>
      </c>
      <c r="J39" s="324" t="s">
        <v>128</v>
      </c>
      <c r="K39" s="324" t="s">
        <v>129</v>
      </c>
      <c r="L39" s="325" t="s">
        <v>112</v>
      </c>
      <c r="M39" s="334"/>
      <c r="N39" s="334"/>
    </row>
    <row r="40" spans="2:14" ht="15.75" thickBot="1">
      <c r="B40" s="315"/>
      <c r="C40" s="315"/>
      <c r="D40" s="326"/>
      <c r="E40" s="327"/>
      <c r="F40" s="353">
        <f>IF(D40=1, Q28, R28)</f>
        <v>689.61</v>
      </c>
      <c r="G40" s="328"/>
      <c r="H40" s="329" t="s">
        <v>86</v>
      </c>
      <c r="I40" s="328">
        <v>0</v>
      </c>
      <c r="J40" s="328"/>
      <c r="K40" s="353">
        <f>J40-I40</f>
        <v>0</v>
      </c>
      <c r="L40" s="354">
        <f>K40/(F40+K40-G40)</f>
        <v>0</v>
      </c>
      <c r="M40" s="334"/>
      <c r="N40" s="334"/>
    </row>
    <row r="41" spans="2:14" ht="15.75" thickBot="1">
      <c r="B41" s="315"/>
      <c r="C41" s="315"/>
      <c r="D41" s="281"/>
      <c r="E41" s="282"/>
      <c r="F41" s="353">
        <f>IF(D41=1, Q29, R29)</f>
        <v>0</v>
      </c>
      <c r="G41" s="283"/>
      <c r="H41" s="284"/>
      <c r="I41" s="283"/>
      <c r="J41" s="328"/>
      <c r="K41" s="353"/>
      <c r="L41" s="354"/>
      <c r="M41" s="334"/>
      <c r="N41" s="334"/>
    </row>
    <row r="42" spans="2:14" ht="15.75" thickBot="1">
      <c r="B42" s="315"/>
      <c r="C42" s="309"/>
      <c r="D42" s="322"/>
      <c r="E42" s="322"/>
      <c r="F42" s="322"/>
      <c r="G42" s="322"/>
      <c r="H42" s="322"/>
      <c r="I42" s="330"/>
      <c r="J42" s="471" t="s">
        <v>54</v>
      </c>
      <c r="K42" s="472"/>
      <c r="L42" s="355">
        <f>AVERAGE(L40:L41)</f>
        <v>0</v>
      </c>
      <c r="M42" s="334"/>
      <c r="N42" s="334"/>
    </row>
    <row r="43" spans="2:14" ht="15.75" thickBot="1">
      <c r="B43" s="315"/>
      <c r="C43" s="311"/>
      <c r="D43" s="312"/>
      <c r="E43" s="312"/>
      <c r="F43" s="312"/>
      <c r="G43" s="312"/>
      <c r="H43" s="312"/>
      <c r="I43" s="312"/>
      <c r="J43" s="335"/>
      <c r="K43" s="335"/>
      <c r="L43" s="335"/>
      <c r="M43" s="313"/>
      <c r="N43" s="334"/>
    </row>
    <row r="44" spans="2:14" ht="15.75" thickBot="1">
      <c r="B44" s="311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13"/>
    </row>
  </sheetData>
  <mergeCells count="12">
    <mergeCell ref="J42:K42"/>
    <mergeCell ref="D3:K6"/>
    <mergeCell ref="D21:F21"/>
    <mergeCell ref="D34:F34"/>
    <mergeCell ref="L8:M8"/>
    <mergeCell ref="L9:M9"/>
    <mergeCell ref="L10:M10"/>
    <mergeCell ref="D10:I10"/>
    <mergeCell ref="D8:I8"/>
    <mergeCell ref="D9:I9"/>
    <mergeCell ref="C27:G27"/>
    <mergeCell ref="C14:G14"/>
  </mergeCells>
  <printOptions horizontalCentered="1"/>
  <pageMargins left="0.23622047244094491" right="0.23622047244094491" top="0.35433070866141736" bottom="0.35433070866141736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56"/>
  <sheetViews>
    <sheetView showGridLines="0" view="pageBreakPreview" topLeftCell="A16" zoomScale="175" zoomScaleNormal="100" zoomScaleSheetLayoutView="175" workbookViewId="0">
      <selection activeCell="L54" sqref="L54"/>
    </sheetView>
  </sheetViews>
  <sheetFormatPr baseColWidth="10" defaultColWidth="11.5" defaultRowHeight="15" customHeight="1"/>
  <cols>
    <col min="1" max="2" width="2.6640625" style="8" customWidth="1"/>
    <col min="3" max="12" width="11.1640625" style="8" customWidth="1"/>
    <col min="13" max="14" width="2.6640625" style="8" customWidth="1"/>
    <col min="15" max="16384" width="11.5" style="8"/>
  </cols>
  <sheetData>
    <row r="1" spans="2:24" ht="15" customHeight="1" thickBot="1"/>
    <row r="2" spans="2:24" ht="15" customHeight="1" thickBot="1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</row>
    <row r="3" spans="2:24" ht="15" customHeight="1">
      <c r="B3" s="13"/>
      <c r="C3" s="14"/>
      <c r="D3" s="15"/>
      <c r="E3" s="490" t="s">
        <v>17</v>
      </c>
      <c r="F3" s="490"/>
      <c r="G3" s="490"/>
      <c r="H3" s="490"/>
      <c r="I3" s="490"/>
      <c r="J3" s="490"/>
      <c r="K3" s="15"/>
      <c r="L3" s="16"/>
      <c r="M3" s="17"/>
    </row>
    <row r="4" spans="2:24" ht="15" customHeight="1">
      <c r="B4" s="13"/>
      <c r="C4" s="18"/>
      <c r="D4" s="19"/>
      <c r="E4" s="491"/>
      <c r="F4" s="491"/>
      <c r="G4" s="491"/>
      <c r="H4" s="491"/>
      <c r="I4" s="491"/>
      <c r="J4" s="491"/>
      <c r="K4" s="19"/>
      <c r="L4" s="20"/>
      <c r="M4" s="17"/>
    </row>
    <row r="5" spans="2:24" ht="15" customHeight="1">
      <c r="B5" s="13"/>
      <c r="C5" s="18"/>
      <c r="D5" s="19"/>
      <c r="E5" s="491"/>
      <c r="F5" s="491"/>
      <c r="G5" s="491"/>
      <c r="H5" s="491"/>
      <c r="I5" s="491"/>
      <c r="J5" s="491"/>
      <c r="K5" s="19"/>
      <c r="L5" s="20"/>
      <c r="M5" s="17"/>
    </row>
    <row r="6" spans="2:24" ht="15" customHeight="1" thickBot="1">
      <c r="B6" s="13"/>
      <c r="C6" s="21"/>
      <c r="D6" s="22"/>
      <c r="E6" s="492"/>
      <c r="F6" s="492"/>
      <c r="G6" s="492"/>
      <c r="H6" s="492"/>
      <c r="I6" s="492"/>
      <c r="J6" s="492"/>
      <c r="K6" s="22"/>
      <c r="L6" s="23"/>
      <c r="M6" s="17"/>
    </row>
    <row r="7" spans="2:24" ht="15" customHeight="1" thickBot="1">
      <c r="B7" s="13"/>
      <c r="C7" s="24"/>
      <c r="D7" s="24"/>
      <c r="E7" s="24"/>
      <c r="F7" s="24"/>
      <c r="G7" s="24"/>
      <c r="H7" s="24"/>
      <c r="I7" s="24"/>
      <c r="J7" s="24"/>
      <c r="K7" s="24"/>
      <c r="L7" s="24"/>
      <c r="M7" s="17"/>
      <c r="P7" s="217"/>
      <c r="U7" s="513"/>
      <c r="V7" s="514"/>
      <c r="W7" s="514"/>
      <c r="X7" s="514"/>
    </row>
    <row r="8" spans="2:24" ht="15" customHeight="1">
      <c r="B8" s="13"/>
      <c r="C8" s="9"/>
      <c r="D8" s="25" t="s">
        <v>0</v>
      </c>
      <c r="E8" s="223">
        <f>Datos!D8</f>
        <v>0</v>
      </c>
      <c r="F8" s="228"/>
      <c r="G8" s="229"/>
      <c r="H8" s="230"/>
      <c r="I8" s="230"/>
      <c r="J8" s="227"/>
      <c r="K8" s="227"/>
      <c r="L8" s="12"/>
      <c r="M8" s="17"/>
      <c r="P8" s="217"/>
      <c r="R8" s="514"/>
      <c r="S8" s="514"/>
      <c r="U8" s="217"/>
    </row>
    <row r="9" spans="2:24" ht="15" customHeight="1">
      <c r="B9" s="13"/>
      <c r="C9" s="13"/>
      <c r="D9" s="26" t="s">
        <v>8</v>
      </c>
      <c r="E9" s="231">
        <f>Datos!D9</f>
        <v>0</v>
      </c>
      <c r="F9" s="232"/>
      <c r="G9" s="232"/>
      <c r="H9" s="232"/>
      <c r="I9" s="233"/>
      <c r="J9" s="234"/>
      <c r="K9" s="178"/>
      <c r="L9" s="17"/>
      <c r="M9" s="17"/>
      <c r="R9" s="514"/>
      <c r="S9" s="514"/>
      <c r="U9" s="217"/>
      <c r="X9" s="244"/>
    </row>
    <row r="10" spans="2:24" ht="15" customHeight="1" thickBot="1">
      <c r="B10" s="13"/>
      <c r="C10" s="27"/>
      <c r="D10" s="28" t="s">
        <v>1</v>
      </c>
      <c r="E10" s="482">
        <f>Datos!D10</f>
        <v>0</v>
      </c>
      <c r="F10" s="482"/>
      <c r="G10" s="482"/>
      <c r="H10" s="482"/>
      <c r="I10" s="482"/>
      <c r="J10" s="482"/>
      <c r="K10" s="482"/>
      <c r="L10" s="29"/>
      <c r="M10" s="17"/>
      <c r="R10" s="514"/>
      <c r="S10" s="514"/>
      <c r="U10" s="513"/>
      <c r="V10" s="514"/>
      <c r="W10" s="514"/>
    </row>
    <row r="11" spans="2:24" ht="15" customHeight="1" thickBot="1">
      <c r="B11" s="13"/>
      <c r="C11" s="30"/>
      <c r="D11" s="31"/>
      <c r="E11" s="32"/>
      <c r="F11" s="33"/>
      <c r="G11" s="33"/>
      <c r="H11" s="33"/>
      <c r="I11" s="34"/>
      <c r="J11" s="35"/>
      <c r="K11" s="36"/>
      <c r="L11" s="37"/>
      <c r="M11" s="17"/>
      <c r="R11" s="514"/>
      <c r="S11" s="514"/>
    </row>
    <row r="12" spans="2:24" ht="15" customHeight="1">
      <c r="B12" s="13"/>
      <c r="C12" s="9"/>
      <c r="D12" s="38" t="s">
        <v>18</v>
      </c>
      <c r="E12" s="493" t="str">
        <f>Datos!J8</f>
        <v/>
      </c>
      <c r="F12" s="493"/>
      <c r="G12" s="10"/>
      <c r="H12" s="10"/>
      <c r="I12" s="39" t="s">
        <v>73</v>
      </c>
      <c r="J12" s="494">
        <f>E14</f>
        <v>0</v>
      </c>
      <c r="K12" s="494"/>
      <c r="L12" s="40"/>
      <c r="M12" s="17"/>
    </row>
    <row r="13" spans="2:24" ht="15" customHeight="1">
      <c r="B13" s="13"/>
      <c r="C13" s="13"/>
      <c r="D13" s="41" t="s">
        <v>7</v>
      </c>
      <c r="E13" s="495">
        <f>Datos!J9</f>
        <v>0</v>
      </c>
      <c r="F13" s="495"/>
      <c r="G13" s="37"/>
      <c r="H13" s="37"/>
      <c r="I13" s="42" t="s">
        <v>13</v>
      </c>
      <c r="J13" s="496">
        <v>0</v>
      </c>
      <c r="K13" s="496"/>
      <c r="L13" s="43"/>
      <c r="M13" s="17"/>
      <c r="P13" s="217"/>
      <c r="U13" s="217"/>
    </row>
    <row r="14" spans="2:24" ht="15" customHeight="1">
      <c r="B14" s="13"/>
      <c r="C14" s="13" t="s">
        <v>70</v>
      </c>
      <c r="D14" s="41"/>
      <c r="E14" s="497"/>
      <c r="F14" s="497"/>
      <c r="G14" s="37"/>
      <c r="H14" s="37"/>
      <c r="I14" s="42" t="s">
        <v>74</v>
      </c>
      <c r="J14" s="512">
        <f>E14</f>
        <v>0</v>
      </c>
      <c r="K14" s="512"/>
      <c r="L14" s="43"/>
      <c r="M14" s="17"/>
      <c r="R14" s="514"/>
      <c r="S14" s="514"/>
      <c r="W14" s="514"/>
      <c r="X14" s="514"/>
    </row>
    <row r="15" spans="2:24" ht="15" customHeight="1">
      <c r="B15" s="13"/>
      <c r="C15" s="510" t="s">
        <v>71</v>
      </c>
      <c r="D15" s="511"/>
      <c r="E15" s="498">
        <f>SUM(E23:E30,J23)</f>
        <v>0</v>
      </c>
      <c r="F15" s="498"/>
      <c r="G15" s="37"/>
      <c r="H15" s="37"/>
      <c r="I15" s="42" t="s">
        <v>75</v>
      </c>
      <c r="J15" s="512" t="e">
        <f>((J12-J14)/(J14-J13))*100</f>
        <v>#DIV/0!</v>
      </c>
      <c r="K15" s="512"/>
      <c r="L15" s="43"/>
      <c r="M15" s="17"/>
      <c r="R15" s="514"/>
      <c r="S15" s="514"/>
    </row>
    <row r="16" spans="2:24" ht="15" customHeight="1">
      <c r="B16" s="13"/>
      <c r="C16" s="214"/>
      <c r="D16" s="215" t="s">
        <v>72</v>
      </c>
      <c r="E16" s="498">
        <f>E14-E15</f>
        <v>0</v>
      </c>
      <c r="F16" s="498"/>
      <c r="G16" s="37"/>
      <c r="H16" s="37"/>
      <c r="I16" s="215" t="s">
        <v>76</v>
      </c>
      <c r="J16" s="498" t="e">
        <f>ROUND(E16/(1+(J15/100)),3)</f>
        <v>#DIV/0!</v>
      </c>
      <c r="K16" s="498"/>
      <c r="L16" s="43"/>
      <c r="M16" s="17"/>
      <c r="R16" s="514"/>
      <c r="S16" s="514"/>
    </row>
    <row r="17" spans="2:20" ht="15" customHeight="1" thickBot="1">
      <c r="B17" s="13"/>
      <c r="C17" s="27"/>
      <c r="D17" s="44" t="s">
        <v>77</v>
      </c>
      <c r="E17" s="499" t="e">
        <f>E15+J16</f>
        <v>#DIV/0!</v>
      </c>
      <c r="F17" s="499"/>
      <c r="G17" s="45"/>
      <c r="H17" s="45"/>
      <c r="I17" s="46" t="s">
        <v>79</v>
      </c>
      <c r="J17" s="500" t="e">
        <f>J16</f>
        <v>#DIV/0!</v>
      </c>
      <c r="K17" s="500"/>
      <c r="L17" s="29"/>
      <c r="M17" s="17"/>
      <c r="R17" s="514"/>
      <c r="S17" s="514"/>
    </row>
    <row r="18" spans="2:20" ht="9.6" customHeight="1" thickBot="1">
      <c r="B18" s="13"/>
      <c r="C18" s="33"/>
      <c r="D18" s="47"/>
      <c r="E18" s="48"/>
      <c r="F18" s="48"/>
      <c r="G18" s="33"/>
      <c r="H18" s="49"/>
      <c r="I18" s="31"/>
      <c r="J18" s="30"/>
      <c r="K18" s="50"/>
      <c r="L18" s="33"/>
      <c r="M18" s="17"/>
      <c r="R18" s="515"/>
      <c r="S18" s="515"/>
    </row>
    <row r="19" spans="2:20" ht="15" customHeight="1">
      <c r="B19" s="13"/>
      <c r="C19" s="501" t="s">
        <v>19</v>
      </c>
      <c r="D19" s="502"/>
      <c r="E19" s="502"/>
      <c r="F19" s="502"/>
      <c r="G19" s="503"/>
      <c r="H19" s="504" t="s">
        <v>20</v>
      </c>
      <c r="I19" s="505"/>
      <c r="J19" s="505"/>
      <c r="K19" s="505"/>
      <c r="L19" s="506"/>
      <c r="M19" s="17"/>
    </row>
    <row r="20" spans="2:20" ht="15" customHeight="1">
      <c r="B20" s="13"/>
      <c r="C20" s="507" t="s">
        <v>21</v>
      </c>
      <c r="D20" s="508"/>
      <c r="E20" s="509" t="s">
        <v>22</v>
      </c>
      <c r="F20" s="508"/>
      <c r="G20" s="51" t="s">
        <v>23</v>
      </c>
      <c r="H20" s="507" t="s">
        <v>21</v>
      </c>
      <c r="I20" s="508"/>
      <c r="J20" s="509" t="s">
        <v>22</v>
      </c>
      <c r="K20" s="508"/>
      <c r="L20" s="51" t="s">
        <v>23</v>
      </c>
      <c r="M20" s="17"/>
    </row>
    <row r="21" spans="2:20" ht="15" customHeight="1">
      <c r="B21" s="13"/>
      <c r="C21" s="52" t="s">
        <v>6</v>
      </c>
      <c r="D21" s="53" t="s">
        <v>24</v>
      </c>
      <c r="E21" s="53" t="s">
        <v>25</v>
      </c>
      <c r="F21" s="53" t="s">
        <v>26</v>
      </c>
      <c r="G21" s="54" t="s">
        <v>27</v>
      </c>
      <c r="H21" s="52" t="s">
        <v>9</v>
      </c>
      <c r="I21" s="53" t="s">
        <v>24</v>
      </c>
      <c r="J21" s="53" t="s">
        <v>25</v>
      </c>
      <c r="K21" s="53" t="s">
        <v>26</v>
      </c>
      <c r="L21" s="54" t="s">
        <v>27</v>
      </c>
      <c r="M21" s="17"/>
      <c r="P21" s="513"/>
      <c r="Q21" s="514"/>
      <c r="R21" s="514"/>
      <c r="S21" s="514"/>
      <c r="T21" s="514"/>
    </row>
    <row r="22" spans="2:20" ht="15" customHeight="1">
      <c r="B22" s="13"/>
      <c r="C22" s="55" t="s">
        <v>28</v>
      </c>
      <c r="D22" s="56" t="s">
        <v>2</v>
      </c>
      <c r="E22" s="57" t="s">
        <v>29</v>
      </c>
      <c r="F22" s="57" t="s">
        <v>30</v>
      </c>
      <c r="G22" s="58" t="s">
        <v>31</v>
      </c>
      <c r="H22" s="55" t="s">
        <v>15</v>
      </c>
      <c r="I22" s="56" t="s">
        <v>2</v>
      </c>
      <c r="J22" s="57" t="s">
        <v>29</v>
      </c>
      <c r="K22" s="57" t="s">
        <v>30</v>
      </c>
      <c r="L22" s="58" t="s">
        <v>31</v>
      </c>
      <c r="M22" s="17"/>
    </row>
    <row r="23" spans="2:20" ht="15" customHeight="1">
      <c r="B23" s="13"/>
      <c r="C23" s="59" t="str">
        <f>IF(D23="","",("3"))</f>
        <v/>
      </c>
      <c r="D23" s="60" t="str">
        <f>IF(E23="","",(76.2))</f>
        <v/>
      </c>
      <c r="E23" s="61"/>
      <c r="F23" s="62" t="e">
        <f>(E23/$E$17*100)</f>
        <v>#DIV/0!</v>
      </c>
      <c r="G23" s="63" t="e">
        <f>(100-F23)</f>
        <v>#DIV/0!</v>
      </c>
      <c r="H23" s="64" t="str">
        <f>IF(I23="","",(4))</f>
        <v/>
      </c>
      <c r="I23" s="60" t="str">
        <f>IF(J23="","",(4.76))</f>
        <v/>
      </c>
      <c r="J23" s="65"/>
      <c r="K23" s="62" t="e">
        <f>(J23/$E$17*100)</f>
        <v>#DIV/0!</v>
      </c>
      <c r="L23" s="63" t="e">
        <f>G30-K23</f>
        <v>#DIV/0!</v>
      </c>
      <c r="M23" s="17"/>
      <c r="P23" s="242"/>
      <c r="Q23" s="244"/>
    </row>
    <row r="24" spans="2:20" ht="15" customHeight="1">
      <c r="B24" s="13"/>
      <c r="C24" s="59" t="str">
        <f>IF(D24="","",("2"))</f>
        <v/>
      </c>
      <c r="D24" s="60" t="str">
        <f>IF(E24="","",(50))</f>
        <v/>
      </c>
      <c r="E24" s="61"/>
      <c r="F24" s="62" t="e">
        <f t="shared" ref="F24:F29" si="0">(E24/$E$17*100)</f>
        <v>#DIV/0!</v>
      </c>
      <c r="G24" s="63" t="e">
        <f>G23-F24</f>
        <v>#DIV/0!</v>
      </c>
      <c r="H24" s="486" t="s">
        <v>78</v>
      </c>
      <c r="I24" s="487"/>
      <c r="J24" s="487"/>
      <c r="K24" s="487"/>
      <c r="L24" s="488"/>
      <c r="M24" s="17"/>
      <c r="P24" s="408" t="e">
        <f>Límites!R18</f>
        <v>#VALUE!</v>
      </c>
      <c r="Q24" s="409" t="e">
        <f>Límites!S18</f>
        <v>#VALUE!</v>
      </c>
    </row>
    <row r="25" spans="2:20" ht="15" customHeight="1">
      <c r="B25" s="13"/>
      <c r="C25" s="59" t="str">
        <f>IF(D25="","",("1 1/2"))</f>
        <v/>
      </c>
      <c r="D25" s="60" t="str">
        <f>IF(E25="","",(38.1))</f>
        <v/>
      </c>
      <c r="E25" s="61"/>
      <c r="F25" s="62" t="e">
        <f t="shared" si="0"/>
        <v>#DIV/0!</v>
      </c>
      <c r="G25" s="63" t="e">
        <f t="shared" ref="G25:G29" si="1">G24-F25</f>
        <v>#DIV/0!</v>
      </c>
      <c r="H25" s="64" t="str">
        <f>IF(I25="","",(10))</f>
        <v/>
      </c>
      <c r="I25" s="60" t="str">
        <f>IF(J25="","",(2))</f>
        <v/>
      </c>
      <c r="J25" s="65"/>
      <c r="K25" s="62" t="e">
        <f>(J25/$J$17*100)*($J$16/$E$17)</f>
        <v>#DIV/0!</v>
      </c>
      <c r="L25" s="63" t="e">
        <f>L23-K25</f>
        <v>#DIV/0!</v>
      </c>
      <c r="M25" s="17"/>
      <c r="P25" s="242"/>
      <c r="Q25" s="244"/>
    </row>
    <row r="26" spans="2:20" ht="15" customHeight="1">
      <c r="B26" s="13"/>
      <c r="C26" s="59" t="str">
        <f>IF(D26="","",("1"))</f>
        <v/>
      </c>
      <c r="D26" s="60" t="str">
        <f>IF(E26="","",(25.4))</f>
        <v/>
      </c>
      <c r="E26" s="66"/>
      <c r="F26" s="62" t="e">
        <f t="shared" si="0"/>
        <v>#DIV/0!</v>
      </c>
      <c r="G26" s="63" t="e">
        <f t="shared" si="1"/>
        <v>#DIV/0!</v>
      </c>
      <c r="H26" s="64" t="str">
        <f>IF(I26="","",(20))</f>
        <v/>
      </c>
      <c r="I26" s="60" t="str">
        <f>IF(J26="","",(0.85))</f>
        <v/>
      </c>
      <c r="J26" s="65"/>
      <c r="K26" s="62" t="e">
        <f t="shared" ref="K26:K30" si="2">(J26/$J$17*100)*($J$16/$E$17)</f>
        <v>#DIV/0!</v>
      </c>
      <c r="L26" s="63" t="e">
        <f t="shared" ref="L26:L29" si="3">L25-K26</f>
        <v>#DIV/0!</v>
      </c>
      <c r="M26" s="17"/>
      <c r="P26" s="242" t="e">
        <f>IF(L33&gt;L34, "G", "S")</f>
        <v>#DIV/0!</v>
      </c>
      <c r="Q26" s="244" t="e">
        <f>IF(L34&gt;L35, P24, Q24)</f>
        <v>#DIV/0!</v>
      </c>
    </row>
    <row r="27" spans="2:20" ht="15" customHeight="1">
      <c r="B27" s="13"/>
      <c r="C27" s="59" t="str">
        <f>IF(D27="","",("3/4"))</f>
        <v/>
      </c>
      <c r="D27" s="60" t="str">
        <f>IF(E27="","",(19.1))</f>
        <v/>
      </c>
      <c r="E27" s="61"/>
      <c r="F27" s="62" t="e">
        <f t="shared" si="0"/>
        <v>#DIV/0!</v>
      </c>
      <c r="G27" s="63" t="e">
        <f t="shared" si="1"/>
        <v>#DIV/0!</v>
      </c>
      <c r="H27" s="64" t="str">
        <f>IF(I27="","",(40))</f>
        <v/>
      </c>
      <c r="I27" s="60" t="str">
        <f>IF(J27="","",(0.425))</f>
        <v/>
      </c>
      <c r="J27" s="65"/>
      <c r="K27" s="62" t="e">
        <f t="shared" si="2"/>
        <v>#DIV/0!</v>
      </c>
      <c r="L27" s="63" t="e">
        <f t="shared" si="3"/>
        <v>#DIV/0!</v>
      </c>
      <c r="M27" s="17"/>
      <c r="P27" s="242"/>
      <c r="Q27" s="244"/>
    </row>
    <row r="28" spans="2:20" ht="15" customHeight="1">
      <c r="B28" s="13"/>
      <c r="C28" s="59" t="str">
        <f>IF(D28="","",("1/2"))</f>
        <v/>
      </c>
      <c r="D28" s="60" t="str">
        <f>IF(E28="","",(12.7))</f>
        <v/>
      </c>
      <c r="E28" s="61"/>
      <c r="F28" s="62" t="e">
        <f t="shared" si="0"/>
        <v>#DIV/0!</v>
      </c>
      <c r="G28" s="63" t="e">
        <f t="shared" si="1"/>
        <v>#DIV/0!</v>
      </c>
      <c r="H28" s="64" t="str">
        <f>IF(I28="","",(60))</f>
        <v/>
      </c>
      <c r="I28" s="60" t="str">
        <f>IF(J28="","",(0.25))</f>
        <v/>
      </c>
      <c r="J28" s="65"/>
      <c r="K28" s="62" t="e">
        <f t="shared" si="2"/>
        <v>#DIV/0!</v>
      </c>
      <c r="L28" s="63" t="e">
        <f t="shared" si="3"/>
        <v>#DIV/0!</v>
      </c>
      <c r="M28" s="17"/>
      <c r="P28" s="242"/>
      <c r="Q28" s="244"/>
    </row>
    <row r="29" spans="2:20" ht="15" customHeight="1">
      <c r="B29" s="13"/>
      <c r="C29" s="59" t="str">
        <f>IF(D29="","",("3/8"))</f>
        <v/>
      </c>
      <c r="D29" s="60" t="str">
        <f>IF(E29="","",(9.525))</f>
        <v/>
      </c>
      <c r="E29" s="61"/>
      <c r="F29" s="62" t="e">
        <f t="shared" si="0"/>
        <v>#DIV/0!</v>
      </c>
      <c r="G29" s="63" t="e">
        <f t="shared" si="1"/>
        <v>#DIV/0!</v>
      </c>
      <c r="H29" s="64" t="str">
        <f>IF(I29="","",(100))</f>
        <v/>
      </c>
      <c r="I29" s="60" t="str">
        <f>IF(J29="","",(0.15))</f>
        <v/>
      </c>
      <c r="J29" s="65"/>
      <c r="K29" s="62" t="e">
        <f t="shared" si="2"/>
        <v>#DIV/0!</v>
      </c>
      <c r="L29" s="63" t="e">
        <f t="shared" si="3"/>
        <v>#DIV/0!</v>
      </c>
      <c r="M29" s="17"/>
      <c r="P29" s="242"/>
      <c r="Q29" s="244"/>
    </row>
    <row r="30" spans="2:20" ht="15" customHeight="1" thickBot="1">
      <c r="B30" s="13"/>
      <c r="C30" s="72" t="str">
        <f>IF(D30="","",("1/4"))</f>
        <v/>
      </c>
      <c r="D30" s="68" t="str">
        <f>IF(E30="","",(6.635))</f>
        <v/>
      </c>
      <c r="E30" s="73"/>
      <c r="F30" s="70" t="e">
        <f>(E30/$E$17*100)</f>
        <v>#DIV/0!</v>
      </c>
      <c r="G30" s="71" t="e">
        <f>G29-F30</f>
        <v>#DIV/0!</v>
      </c>
      <c r="H30" s="67" t="str">
        <f>IF(I30="","",(200))</f>
        <v/>
      </c>
      <c r="I30" s="68" t="str">
        <f>IF(J30="","",(0.074))</f>
        <v/>
      </c>
      <c r="J30" s="69"/>
      <c r="K30" s="70" t="e">
        <f t="shared" si="2"/>
        <v>#DIV/0!</v>
      </c>
      <c r="L30" s="71" t="e">
        <f>L29-K30</f>
        <v>#DIV/0!</v>
      </c>
      <c r="M30" s="17"/>
      <c r="P30" s="242"/>
      <c r="Q30" s="244"/>
    </row>
    <row r="31" spans="2:20" ht="9" customHeight="1" thickBot="1">
      <c r="B31" s="13"/>
      <c r="C31" s="74"/>
      <c r="D31" s="75"/>
      <c r="E31" s="76"/>
      <c r="F31" s="48"/>
      <c r="G31" s="48"/>
      <c r="H31" s="37"/>
      <c r="I31" s="77"/>
      <c r="J31" s="78"/>
      <c r="K31" s="37"/>
      <c r="L31" s="37"/>
      <c r="M31" s="17"/>
      <c r="P31" s="242"/>
      <c r="Q31" s="244"/>
    </row>
    <row r="32" spans="2:20" ht="15" customHeight="1">
      <c r="B32" s="13"/>
      <c r="C32" s="9"/>
      <c r="D32" s="10"/>
      <c r="E32" s="79" t="s">
        <v>32</v>
      </c>
      <c r="F32" s="489"/>
      <c r="G32" s="489"/>
      <c r="H32" s="10"/>
      <c r="I32" s="39" t="s">
        <v>33</v>
      </c>
      <c r="J32" s="218" t="e">
        <f>IF(L35&gt;12,"N/A","Definir gráficamente")</f>
        <v>#DIV/0!</v>
      </c>
      <c r="K32" s="80" t="s">
        <v>34</v>
      </c>
      <c r="L32" s="81" t="e">
        <f>F23</f>
        <v>#DIV/0!</v>
      </c>
      <c r="M32" s="17"/>
      <c r="P32" s="242"/>
      <c r="Q32" s="244"/>
    </row>
    <row r="33" spans="2:20" ht="15" customHeight="1">
      <c r="B33" s="13"/>
      <c r="C33" s="13"/>
      <c r="D33" s="37"/>
      <c r="E33" s="31" t="s">
        <v>35</v>
      </c>
      <c r="F33" s="414" t="e">
        <f>IF(L34&gt;L35, P26, P24)</f>
        <v>#DIV/0!</v>
      </c>
      <c r="G33" s="415" t="e">
        <f>Q26</f>
        <v>#DIV/0!</v>
      </c>
      <c r="H33" s="37"/>
      <c r="I33" s="42" t="s">
        <v>36</v>
      </c>
      <c r="J33" s="219" t="e">
        <f>IF(L35&gt;12,"N/A","Definir gráficamente")</f>
        <v>#DIV/0!</v>
      </c>
      <c r="K33" s="82" t="s">
        <v>37</v>
      </c>
      <c r="L33" s="83" t="e">
        <f>G23-L23</f>
        <v>#DIV/0!</v>
      </c>
      <c r="M33" s="17"/>
      <c r="P33" s="242"/>
      <c r="Q33" s="244"/>
    </row>
    <row r="34" spans="2:20" ht="15" customHeight="1">
      <c r="B34" s="13"/>
      <c r="C34" s="13"/>
      <c r="D34" s="37"/>
      <c r="E34" s="42" t="s">
        <v>38</v>
      </c>
      <c r="F34" s="485"/>
      <c r="G34" s="485"/>
      <c r="H34" s="411"/>
      <c r="I34" s="42" t="s">
        <v>39</v>
      </c>
      <c r="J34" s="219" t="e">
        <f>IF(L35&gt;12,"N/A","Definir gráficamente")</f>
        <v>#DIV/0!</v>
      </c>
      <c r="K34" s="42" t="s">
        <v>40</v>
      </c>
      <c r="L34" s="84" t="e">
        <f>L23-L30</f>
        <v>#DIV/0!</v>
      </c>
      <c r="M34" s="17"/>
      <c r="P34" s="242"/>
      <c r="Q34" s="244"/>
    </row>
    <row r="35" spans="2:20" ht="15" customHeight="1">
      <c r="B35" s="13"/>
      <c r="C35" s="13"/>
      <c r="D35" s="37"/>
      <c r="E35" s="85" t="s">
        <v>41</v>
      </c>
      <c r="F35" s="270"/>
      <c r="G35" s="270"/>
      <c r="H35" s="37"/>
      <c r="I35" s="42" t="s">
        <v>42</v>
      </c>
      <c r="J35" s="86" t="e">
        <f>IF(L35&gt;12,"N/A",J34/J32)</f>
        <v>#DIV/0!</v>
      </c>
      <c r="K35" s="42" t="s">
        <v>43</v>
      </c>
      <c r="L35" s="84" t="e">
        <f>L30</f>
        <v>#DIV/0!</v>
      </c>
      <c r="M35" s="17"/>
      <c r="P35" s="242"/>
      <c r="Q35" s="244"/>
    </row>
    <row r="36" spans="2:20" ht="15" customHeight="1" thickBot="1">
      <c r="B36" s="13"/>
      <c r="C36" s="27"/>
      <c r="D36" s="45"/>
      <c r="E36" s="87" t="s">
        <v>44</v>
      </c>
      <c r="F36" s="88"/>
      <c r="G36" s="88"/>
      <c r="H36" s="45"/>
      <c r="I36" s="89" t="s">
        <v>45</v>
      </c>
      <c r="J36" s="90" t="e">
        <f>IF(L35&gt;12,"N/A",(J33*J33)/(J32*J34))</f>
        <v>#DIV/0!</v>
      </c>
      <c r="K36" s="89" t="s">
        <v>46</v>
      </c>
      <c r="L36" s="220" t="e">
        <f>IF(L35="","",(SUM(L32:L35)))</f>
        <v>#DIV/0!</v>
      </c>
      <c r="M36" s="17"/>
      <c r="P36" s="242"/>
      <c r="Q36" s="244"/>
    </row>
    <row r="37" spans="2:20" ht="9" customHeight="1" thickBot="1">
      <c r="B37" s="13"/>
      <c r="C37" s="91"/>
      <c r="D37" s="91"/>
      <c r="E37" s="91"/>
      <c r="F37" s="91"/>
      <c r="G37" s="92"/>
      <c r="H37" s="91"/>
      <c r="I37" s="91"/>
      <c r="J37" s="91"/>
      <c r="K37" s="91"/>
      <c r="L37" s="91"/>
      <c r="M37" s="17"/>
      <c r="P37" s="242"/>
      <c r="Q37" s="244"/>
    </row>
    <row r="38" spans="2:20" ht="15" customHeight="1">
      <c r="B38" s="13"/>
      <c r="C38" s="93"/>
      <c r="D38" s="94"/>
      <c r="E38" s="94"/>
      <c r="F38" s="94"/>
      <c r="G38" s="95"/>
      <c r="H38" s="94"/>
      <c r="I38" s="94"/>
      <c r="J38" s="94"/>
      <c r="K38" s="94"/>
      <c r="L38" s="40"/>
      <c r="M38" s="17"/>
      <c r="T38" s="216"/>
    </row>
    <row r="39" spans="2:20" ht="15" customHeight="1">
      <c r="B39" s="13"/>
      <c r="C39" s="96"/>
      <c r="D39" s="97" t="str">
        <f>IF(D23="","",(D23))</f>
        <v/>
      </c>
      <c r="E39" s="98" t="e">
        <f>IF(G23="","",(G23))</f>
        <v>#DIV/0!</v>
      </c>
      <c r="F39" s="97">
        <v>100</v>
      </c>
      <c r="G39" s="98">
        <v>100</v>
      </c>
      <c r="H39" s="99">
        <v>4.76</v>
      </c>
      <c r="I39" s="100">
        <v>100</v>
      </c>
      <c r="J39" s="99" t="str">
        <f>IF(I23="","",(I23))</f>
        <v/>
      </c>
      <c r="K39" s="101" t="e">
        <f>IF(L23="","",(L23))</f>
        <v>#DIV/0!</v>
      </c>
      <c r="L39" s="102"/>
      <c r="M39" s="17"/>
    </row>
    <row r="40" spans="2:20" ht="15" customHeight="1">
      <c r="B40" s="13"/>
      <c r="C40" s="96"/>
      <c r="D40" s="103" t="str">
        <f>IF(D39="","",(D39))</f>
        <v/>
      </c>
      <c r="E40" s="104">
        <v>0</v>
      </c>
      <c r="F40" s="103">
        <v>4.76</v>
      </c>
      <c r="G40" s="104">
        <v>100</v>
      </c>
      <c r="H40" s="105">
        <v>7.3999999999999996E-2</v>
      </c>
      <c r="I40" s="100">
        <v>100</v>
      </c>
      <c r="J40" s="105" t="str">
        <f>IF(J39="","",(J39))</f>
        <v/>
      </c>
      <c r="K40" s="106">
        <v>0</v>
      </c>
      <c r="L40" s="102"/>
      <c r="M40" s="17"/>
    </row>
    <row r="41" spans="2:20" ht="15" customHeight="1">
      <c r="B41" s="13"/>
      <c r="C41" s="96"/>
      <c r="D41" s="107" t="str">
        <f>IF(D24="","",(D24))</f>
        <v/>
      </c>
      <c r="E41" s="108" t="e">
        <f>IF(G24="","",(G24))</f>
        <v>#DIV/0!</v>
      </c>
      <c r="F41" s="91"/>
      <c r="G41" s="91"/>
      <c r="H41" s="91"/>
      <c r="I41" s="91"/>
      <c r="J41" s="109" t="str">
        <f>IF(I25="","",(I25))</f>
        <v/>
      </c>
      <c r="K41" s="110" t="e">
        <f>IF(L25="","",(L25))</f>
        <v>#DIV/0!</v>
      </c>
      <c r="L41" s="102"/>
      <c r="M41" s="17"/>
    </row>
    <row r="42" spans="2:20" ht="15" customHeight="1">
      <c r="B42" s="13"/>
      <c r="C42" s="96"/>
      <c r="D42" s="111" t="str">
        <f>IF(D41="","",(D41))</f>
        <v/>
      </c>
      <c r="E42" s="112">
        <v>0</v>
      </c>
      <c r="F42" s="100">
        <v>7.3999999999999996E-2</v>
      </c>
      <c r="G42" s="100">
        <v>100</v>
      </c>
      <c r="H42" s="100"/>
      <c r="I42" s="100"/>
      <c r="J42" s="113" t="str">
        <f>IF(J41="","",(J41))</f>
        <v/>
      </c>
      <c r="K42" s="110">
        <v>0</v>
      </c>
      <c r="L42" s="102"/>
      <c r="M42" s="17"/>
    </row>
    <row r="43" spans="2:20" ht="15" customHeight="1">
      <c r="B43" s="13"/>
      <c r="C43" s="96"/>
      <c r="D43" s="114" t="str">
        <f>IF(D25="","",(D25))</f>
        <v/>
      </c>
      <c r="E43" s="115" t="e">
        <f>IF(G25="","",(G25))</f>
        <v>#DIV/0!</v>
      </c>
      <c r="F43" s="100">
        <v>0.01</v>
      </c>
      <c r="G43" s="100">
        <v>100</v>
      </c>
      <c r="H43" s="100"/>
      <c r="I43" s="100"/>
      <c r="J43" s="116" t="str">
        <f>IF(I26="","",(I26))</f>
        <v/>
      </c>
      <c r="K43" s="117" t="e">
        <f>IF(L26="","",(L26))</f>
        <v>#DIV/0!</v>
      </c>
      <c r="L43" s="102"/>
      <c r="M43" s="17"/>
    </row>
    <row r="44" spans="2:20" ht="15" customHeight="1">
      <c r="B44" s="13"/>
      <c r="C44" s="96"/>
      <c r="D44" s="118" t="str">
        <f>IF(D43="","",(D43))</f>
        <v/>
      </c>
      <c r="E44" s="119">
        <v>0</v>
      </c>
      <c r="F44" s="91"/>
      <c r="G44" s="91"/>
      <c r="H44" s="91"/>
      <c r="I44" s="91"/>
      <c r="J44" s="120" t="str">
        <f>IF(J43="","",(J43))</f>
        <v/>
      </c>
      <c r="K44" s="117">
        <v>0</v>
      </c>
      <c r="L44" s="102"/>
      <c r="M44" s="17"/>
    </row>
    <row r="45" spans="2:20" ht="15" customHeight="1">
      <c r="B45" s="13"/>
      <c r="C45" s="96"/>
      <c r="D45" s="121" t="str">
        <f>IF(D26="","",(D26))</f>
        <v/>
      </c>
      <c r="E45" s="122" t="e">
        <f>IF(G26="","",(G26))</f>
        <v>#DIV/0!</v>
      </c>
      <c r="F45" s="91"/>
      <c r="G45" s="91"/>
      <c r="H45" s="91"/>
      <c r="I45" s="91"/>
      <c r="J45" s="123" t="str">
        <f>IF(I27="","",(I27))</f>
        <v/>
      </c>
      <c r="K45" s="124" t="e">
        <f>IF(L27="","",(L27))</f>
        <v>#DIV/0!</v>
      </c>
      <c r="L45" s="102"/>
      <c r="M45" s="17"/>
    </row>
    <row r="46" spans="2:20" ht="15" customHeight="1">
      <c r="B46" s="13"/>
      <c r="C46" s="96"/>
      <c r="D46" s="125" t="str">
        <f>IF(D45="","",(D45))</f>
        <v/>
      </c>
      <c r="E46" s="126">
        <v>0</v>
      </c>
      <c r="F46" s="91"/>
      <c r="G46" s="91"/>
      <c r="H46" s="91"/>
      <c r="I46" s="91"/>
      <c r="J46" s="127" t="str">
        <f>IF(J45="","",(J45))</f>
        <v/>
      </c>
      <c r="K46" s="124">
        <v>0</v>
      </c>
      <c r="L46" s="102"/>
      <c r="M46" s="17"/>
    </row>
    <row r="47" spans="2:20" ht="15" customHeight="1">
      <c r="B47" s="13"/>
      <c r="C47" s="96"/>
      <c r="D47" s="128" t="str">
        <f>IF(D27="","",(D27))</f>
        <v/>
      </c>
      <c r="E47" s="129" t="e">
        <f>IF(G27="","",(G27))</f>
        <v>#DIV/0!</v>
      </c>
      <c r="F47" s="91"/>
      <c r="G47" s="91"/>
      <c r="H47" s="91"/>
      <c r="I47" s="91"/>
      <c r="J47" s="130" t="str">
        <f>IF(I28="","",(I28))</f>
        <v/>
      </c>
      <c r="K47" s="131" t="e">
        <f>IF(L28="","",(L28))</f>
        <v>#DIV/0!</v>
      </c>
      <c r="L47" s="102"/>
      <c r="M47" s="17"/>
    </row>
    <row r="48" spans="2:20" ht="15" customHeight="1">
      <c r="B48" s="13"/>
      <c r="C48" s="96"/>
      <c r="D48" s="132" t="str">
        <f>IF(D47="","",(D47))</f>
        <v/>
      </c>
      <c r="E48" s="133">
        <v>0</v>
      </c>
      <c r="F48" s="91"/>
      <c r="G48" s="91"/>
      <c r="H48" s="91"/>
      <c r="I48" s="91"/>
      <c r="J48" s="134" t="str">
        <f>IF(J47="","",(J47))</f>
        <v/>
      </c>
      <c r="K48" s="131">
        <v>0</v>
      </c>
      <c r="L48" s="102"/>
      <c r="M48" s="17"/>
    </row>
    <row r="49" spans="2:13" ht="15" customHeight="1">
      <c r="B49" s="13"/>
      <c r="C49" s="96"/>
      <c r="D49" s="135" t="str">
        <f>IF(D28="","",(D28))</f>
        <v/>
      </c>
      <c r="E49" s="136" t="e">
        <f>IF(G28="","",(G28))</f>
        <v>#DIV/0!</v>
      </c>
      <c r="F49" s="91"/>
      <c r="G49" s="91"/>
      <c r="H49" s="91"/>
      <c r="I49" s="91"/>
      <c r="J49" s="137" t="str">
        <f>IF(I29="","",(I29))</f>
        <v/>
      </c>
      <c r="K49" s="138" t="e">
        <f>IF(L29="","",(L29))</f>
        <v>#DIV/0!</v>
      </c>
      <c r="L49" s="102"/>
      <c r="M49" s="17"/>
    </row>
    <row r="50" spans="2:13" ht="15" customHeight="1">
      <c r="B50" s="13"/>
      <c r="C50" s="96"/>
      <c r="D50" s="139" t="str">
        <f>IF(D49="","",(D49))</f>
        <v/>
      </c>
      <c r="E50" s="140">
        <v>0</v>
      </c>
      <c r="F50" s="91"/>
      <c r="G50" s="91"/>
      <c r="H50" s="91"/>
      <c r="I50" s="91"/>
      <c r="J50" s="141" t="str">
        <f>IF(J49="","",(J49))</f>
        <v/>
      </c>
      <c r="K50" s="138">
        <v>0</v>
      </c>
      <c r="L50" s="102"/>
      <c r="M50" s="17"/>
    </row>
    <row r="51" spans="2:13" ht="15" customHeight="1">
      <c r="B51" s="13"/>
      <c r="C51" s="96"/>
      <c r="D51" s="142" t="str">
        <f>IF(D29="","",(D29))</f>
        <v/>
      </c>
      <c r="E51" s="143" t="e">
        <f>IF(G29="","",(G29))</f>
        <v>#DIV/0!</v>
      </c>
      <c r="F51" s="91"/>
      <c r="G51" s="91"/>
      <c r="H51" s="91"/>
      <c r="I51" s="91"/>
      <c r="J51" s="144" t="str">
        <f>IF(I30="","",(I30))</f>
        <v/>
      </c>
      <c r="K51" s="145" t="e">
        <f>IF(L30="","",(L30))</f>
        <v>#DIV/0!</v>
      </c>
      <c r="L51" s="102"/>
      <c r="M51" s="17"/>
    </row>
    <row r="52" spans="2:13" ht="15" customHeight="1">
      <c r="B52" s="13"/>
      <c r="C52" s="96"/>
      <c r="D52" s="146" t="str">
        <f>IF(D51="","",(D51))</f>
        <v/>
      </c>
      <c r="E52" s="147">
        <v>0</v>
      </c>
      <c r="F52" s="91"/>
      <c r="G52" s="91"/>
      <c r="H52" s="91"/>
      <c r="I52" s="91"/>
      <c r="J52" s="148" t="str">
        <f>IF(J51="","",(J51))</f>
        <v/>
      </c>
      <c r="K52" s="145">
        <v>0</v>
      </c>
      <c r="L52" s="102"/>
      <c r="M52" s="17"/>
    </row>
    <row r="53" spans="2:13" ht="15" customHeight="1">
      <c r="B53" s="13"/>
      <c r="C53" s="96"/>
      <c r="D53" s="149" t="str">
        <f>IF(D30="","",(D30))</f>
        <v/>
      </c>
      <c r="E53" s="100" t="e">
        <f>IF(G30="","",(G30))</f>
        <v>#DIV/0!</v>
      </c>
      <c r="F53" s="91"/>
      <c r="G53" s="91"/>
      <c r="H53" s="91"/>
      <c r="I53" s="91"/>
      <c r="J53" s="149"/>
      <c r="K53" s="100"/>
      <c r="L53" s="102"/>
      <c r="M53" s="17"/>
    </row>
    <row r="54" spans="2:13" ht="15" customHeight="1">
      <c r="B54" s="13"/>
      <c r="C54" s="96"/>
      <c r="D54" s="150" t="str">
        <f>IF(D53="","",(D53))</f>
        <v/>
      </c>
      <c r="E54" s="151">
        <v>0</v>
      </c>
      <c r="F54" s="91"/>
      <c r="G54" s="91"/>
      <c r="H54" s="91"/>
      <c r="I54" s="91"/>
      <c r="J54" s="149"/>
      <c r="K54" s="100"/>
      <c r="L54" s="102"/>
      <c r="M54" s="17"/>
    </row>
    <row r="55" spans="2:13" ht="15" customHeight="1" thickBot="1">
      <c r="B55" s="13"/>
      <c r="C55" s="152"/>
      <c r="D55" s="153"/>
      <c r="E55" s="153"/>
      <c r="F55" s="153"/>
      <c r="G55" s="153"/>
      <c r="H55" s="153"/>
      <c r="I55" s="153"/>
      <c r="J55" s="153"/>
      <c r="K55" s="153"/>
      <c r="L55" s="154"/>
      <c r="M55" s="17"/>
    </row>
    <row r="56" spans="2:13" ht="15" customHeight="1" thickBot="1">
      <c r="B56" s="27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29"/>
    </row>
  </sheetData>
  <mergeCells count="37">
    <mergeCell ref="P21:T21"/>
    <mergeCell ref="R16:S16"/>
    <mergeCell ref="R17:S17"/>
    <mergeCell ref="R18:S18"/>
    <mergeCell ref="U10:W10"/>
    <mergeCell ref="R10:S10"/>
    <mergeCell ref="R11:S11"/>
    <mergeCell ref="R14:S14"/>
    <mergeCell ref="U7:X7"/>
    <mergeCell ref="R15:S15"/>
    <mergeCell ref="W14:X14"/>
    <mergeCell ref="R8:S8"/>
    <mergeCell ref="R9:S9"/>
    <mergeCell ref="E20:F20"/>
    <mergeCell ref="C15:D15"/>
    <mergeCell ref="J14:K14"/>
    <mergeCell ref="E16:F16"/>
    <mergeCell ref="J15:K15"/>
    <mergeCell ref="J16:K16"/>
    <mergeCell ref="H20:I20"/>
    <mergeCell ref="J20:K20"/>
    <mergeCell ref="F34:G34"/>
    <mergeCell ref="H24:L24"/>
    <mergeCell ref="F32:G32"/>
    <mergeCell ref="E3:J6"/>
    <mergeCell ref="E10:K10"/>
    <mergeCell ref="E12:F12"/>
    <mergeCell ref="J12:K12"/>
    <mergeCell ref="E13:F13"/>
    <mergeCell ref="J13:K13"/>
    <mergeCell ref="E14:F14"/>
    <mergeCell ref="E15:F15"/>
    <mergeCell ref="E17:F17"/>
    <mergeCell ref="J17:K17"/>
    <mergeCell ref="C19:G19"/>
    <mergeCell ref="H19:L19"/>
    <mergeCell ref="C20:D20"/>
  </mergeCells>
  <printOptions horizontalCentered="1" verticalCentered="1"/>
  <pageMargins left="0" right="0" top="0.54500000000000004" bottom="0" header="0" footer="0"/>
  <pageSetup paperSize="9"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0"/>
  <sheetViews>
    <sheetView showGridLines="0" tabSelected="1" view="pageBreakPreview" zoomScale="160" zoomScaleNormal="100" zoomScaleSheetLayoutView="160" workbookViewId="0">
      <selection activeCell="K21" sqref="K21"/>
    </sheetView>
  </sheetViews>
  <sheetFormatPr baseColWidth="10" defaultColWidth="11.5" defaultRowHeight="12.75"/>
  <cols>
    <col min="1" max="1" width="2.6640625" style="273" customWidth="1"/>
    <col min="2" max="2" width="1.83203125" style="285" customWidth="1"/>
    <col min="3" max="15" width="8" style="285" customWidth="1"/>
    <col min="16" max="16" width="1.33203125" style="285" customWidth="1"/>
    <col min="17" max="21" width="11.5" style="285"/>
    <col min="22" max="22" width="12.5" style="285" bestFit="1" customWidth="1"/>
    <col min="23" max="23" width="15.33203125" style="285" customWidth="1"/>
    <col min="24" max="16384" width="11.5" style="273"/>
  </cols>
  <sheetData>
    <row r="1" spans="2:23" ht="13.5" thickBot="1"/>
    <row r="2" spans="2:23" ht="10.9" customHeight="1" thickBot="1">
      <c r="B2" s="359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1"/>
    </row>
    <row r="3" spans="2:23" ht="16.149999999999999" customHeight="1">
      <c r="B3" s="362"/>
      <c r="C3" s="160"/>
      <c r="D3" s="161"/>
      <c r="E3" s="439" t="s">
        <v>47</v>
      </c>
      <c r="F3" s="439"/>
      <c r="G3" s="439"/>
      <c r="H3" s="439"/>
      <c r="I3" s="439"/>
      <c r="J3" s="439"/>
      <c r="K3" s="439"/>
      <c r="L3" s="439"/>
      <c r="M3" s="161"/>
      <c r="N3" s="161"/>
      <c r="O3" s="357"/>
      <c r="P3" s="298"/>
      <c r="Q3" s="286"/>
      <c r="R3" s="286"/>
      <c r="S3" s="286"/>
      <c r="T3" s="286"/>
    </row>
    <row r="4" spans="2:23" ht="16.149999999999999" customHeight="1">
      <c r="B4" s="362"/>
      <c r="C4" s="164"/>
      <c r="D4" s="165"/>
      <c r="E4" s="440"/>
      <c r="F4" s="440"/>
      <c r="G4" s="440"/>
      <c r="H4" s="440"/>
      <c r="I4" s="440"/>
      <c r="J4" s="440"/>
      <c r="K4" s="440"/>
      <c r="L4" s="440"/>
      <c r="M4" s="165"/>
      <c r="N4" s="165"/>
      <c r="O4" s="358"/>
      <c r="P4" s="298"/>
      <c r="Q4" s="286"/>
      <c r="R4" s="286"/>
      <c r="S4" s="286"/>
    </row>
    <row r="5" spans="2:23" ht="16.149999999999999" customHeight="1">
      <c r="B5" s="362"/>
      <c r="C5" s="164"/>
      <c r="D5" s="165"/>
      <c r="E5" s="440"/>
      <c r="F5" s="440"/>
      <c r="G5" s="440"/>
      <c r="H5" s="440"/>
      <c r="I5" s="440"/>
      <c r="J5" s="440"/>
      <c r="K5" s="440"/>
      <c r="L5" s="440"/>
      <c r="M5" s="165"/>
      <c r="N5" s="165"/>
      <c r="O5" s="358"/>
      <c r="P5" s="298"/>
      <c r="Q5" s="286"/>
    </row>
    <row r="6" spans="2:23" ht="14.1" customHeight="1" thickBot="1">
      <c r="B6" s="362"/>
      <c r="C6" s="167"/>
      <c r="D6" s="168"/>
      <c r="E6" s="441"/>
      <c r="F6" s="441"/>
      <c r="G6" s="441"/>
      <c r="H6" s="441"/>
      <c r="I6" s="441"/>
      <c r="J6" s="441"/>
      <c r="K6" s="441"/>
      <c r="L6" s="441"/>
      <c r="M6" s="168"/>
      <c r="N6" s="168"/>
      <c r="O6" s="356"/>
      <c r="P6" s="298"/>
      <c r="Q6" s="286"/>
    </row>
    <row r="7" spans="2:23" ht="14.1" customHeight="1" thickBot="1">
      <c r="B7" s="362"/>
      <c r="E7" s="363"/>
      <c r="F7" s="363"/>
      <c r="P7" s="298"/>
      <c r="Q7" s="286"/>
    </row>
    <row r="8" spans="2:23" ht="14.1" customHeight="1">
      <c r="B8" s="362"/>
      <c r="C8" s="172"/>
      <c r="D8" s="173" t="s">
        <v>0</v>
      </c>
      <c r="E8" s="235">
        <f>Datos!D8</f>
        <v>0</v>
      </c>
      <c r="F8" s="236"/>
      <c r="G8" s="237"/>
      <c r="H8" s="237"/>
      <c r="I8" s="237"/>
      <c r="J8" s="227"/>
      <c r="K8" s="157"/>
      <c r="L8" s="39" t="s">
        <v>49</v>
      </c>
      <c r="M8" s="476" t="str">
        <f>Datos!J8</f>
        <v/>
      </c>
      <c r="N8" s="476"/>
      <c r="O8" s="517"/>
      <c r="P8" s="298"/>
      <c r="Q8" s="286"/>
    </row>
    <row r="9" spans="2:23" ht="14.1" customHeight="1">
      <c r="B9" s="362"/>
      <c r="C9" s="171"/>
      <c r="D9" s="85" t="s">
        <v>8</v>
      </c>
      <c r="E9" s="238">
        <f>Datos!D9</f>
        <v>0</v>
      </c>
      <c r="F9" s="239"/>
      <c r="G9" s="240"/>
      <c r="H9" s="240"/>
      <c r="I9" s="240"/>
      <c r="J9" s="178"/>
      <c r="K9" s="174"/>
      <c r="L9" s="85" t="s">
        <v>50</v>
      </c>
      <c r="M9" s="518">
        <f>Datos!J9</f>
        <v>0</v>
      </c>
      <c r="N9" s="518"/>
      <c r="O9" s="519"/>
      <c r="P9" s="298"/>
      <c r="Q9" s="286"/>
    </row>
    <row r="10" spans="2:23" ht="14.1" customHeight="1" thickBot="1">
      <c r="B10" s="362"/>
      <c r="C10" s="175"/>
      <c r="D10" s="87" t="s">
        <v>1</v>
      </c>
      <c r="E10" s="534">
        <f>Datos!D10</f>
        <v>0</v>
      </c>
      <c r="F10" s="534"/>
      <c r="G10" s="534"/>
      <c r="H10" s="534"/>
      <c r="I10" s="534"/>
      <c r="J10" s="534"/>
      <c r="K10" s="176"/>
      <c r="L10" s="87" t="s">
        <v>51</v>
      </c>
      <c r="M10" s="480" t="str">
        <f>CONCATENATE(Datos!J10," ",Datos!K10," ",Datos!L10)</f>
        <v xml:space="preserve"> a  </v>
      </c>
      <c r="N10" s="480"/>
      <c r="O10" s="481"/>
      <c r="P10" s="298"/>
      <c r="Q10" s="286"/>
    </row>
    <row r="11" spans="2:23" ht="14.1" customHeight="1">
      <c r="B11" s="362"/>
      <c r="E11" s="363"/>
      <c r="F11" s="363"/>
      <c r="P11" s="298"/>
      <c r="Q11" s="286"/>
    </row>
    <row r="12" spans="2:23" ht="14.1" customHeight="1" thickBot="1">
      <c r="B12" s="362"/>
      <c r="C12" s="363" t="s">
        <v>52</v>
      </c>
      <c r="F12" s="286" t="s">
        <v>113</v>
      </c>
      <c r="K12" s="287"/>
      <c r="L12" s="535" t="s">
        <v>121</v>
      </c>
      <c r="M12" s="535"/>
      <c r="N12" s="535"/>
      <c r="O12" s="535"/>
      <c r="P12" s="298"/>
    </row>
    <row r="13" spans="2:23" ht="14.1" customHeight="1">
      <c r="B13" s="362"/>
      <c r="C13" s="524" t="s">
        <v>114</v>
      </c>
      <c r="D13" s="532" t="s">
        <v>115</v>
      </c>
      <c r="E13" s="520" t="s">
        <v>130</v>
      </c>
      <c r="F13" s="520" t="s">
        <v>131</v>
      </c>
      <c r="G13" s="520" t="s">
        <v>132</v>
      </c>
      <c r="H13" s="520" t="s">
        <v>133</v>
      </c>
      <c r="I13" s="417" t="s">
        <v>134</v>
      </c>
      <c r="J13" s="522" t="s">
        <v>116</v>
      </c>
      <c r="K13" s="286"/>
      <c r="L13" s="536" t="e">
        <f>CONCATENATE(Granulometría!F33,Granulometría!G33," - ",Granulometría!F34)</f>
        <v>#DIV/0!</v>
      </c>
      <c r="M13" s="537"/>
      <c r="N13" s="537"/>
      <c r="O13" s="538"/>
      <c r="P13" s="298"/>
    </row>
    <row r="14" spans="2:23" ht="14.1" customHeight="1">
      <c r="B14" s="362"/>
      <c r="C14" s="525"/>
      <c r="D14" s="533"/>
      <c r="E14" s="521"/>
      <c r="F14" s="521"/>
      <c r="G14" s="521"/>
      <c r="H14" s="521"/>
      <c r="I14" s="418"/>
      <c r="J14" s="523"/>
      <c r="L14" s="539"/>
      <c r="M14" s="540"/>
      <c r="N14" s="540"/>
      <c r="O14" s="541"/>
      <c r="P14" s="364"/>
    </row>
    <row r="15" spans="2:23" ht="14.1" customHeight="1">
      <c r="B15" s="362"/>
      <c r="C15" s="525"/>
      <c r="D15" s="533"/>
      <c r="E15" s="385" t="s">
        <v>85</v>
      </c>
      <c r="F15" s="385" t="s">
        <v>85</v>
      </c>
      <c r="G15" s="385" t="s">
        <v>85</v>
      </c>
      <c r="H15" s="385" t="s">
        <v>85</v>
      </c>
      <c r="I15" s="385" t="s">
        <v>85</v>
      </c>
      <c r="J15" s="386" t="s">
        <v>31</v>
      </c>
      <c r="L15" s="539"/>
      <c r="M15" s="540"/>
      <c r="N15" s="540"/>
      <c r="O15" s="541"/>
      <c r="P15" s="364"/>
    </row>
    <row r="16" spans="2:23" ht="14.1" customHeight="1">
      <c r="B16" s="362"/>
      <c r="C16" s="387"/>
      <c r="D16" s="388"/>
      <c r="E16" s="389" t="e">
        <f>LOOKUP(D16, $Z$91:$AA$290)</f>
        <v>#N/A</v>
      </c>
      <c r="F16" s="389"/>
      <c r="G16" s="389"/>
      <c r="H16" s="393">
        <f>F16-G16</f>
        <v>0</v>
      </c>
      <c r="I16" s="393" t="e">
        <f>G16-E16</f>
        <v>#N/A</v>
      </c>
      <c r="J16" s="394" t="e">
        <f>(H16/I16)*100</f>
        <v>#N/A</v>
      </c>
      <c r="L16" s="539"/>
      <c r="M16" s="540"/>
      <c r="N16" s="540"/>
      <c r="O16" s="541"/>
      <c r="P16" s="364"/>
      <c r="Q16" s="299"/>
      <c r="W16" s="289"/>
    </row>
    <row r="17" spans="2:23" ht="14.1" customHeight="1">
      <c r="B17" s="362"/>
      <c r="C17" s="387"/>
      <c r="D17" s="388"/>
      <c r="E17" s="389" t="e">
        <f t="shared" ref="E17:E19" si="0">LOOKUP(D17, $Z$91:$AA$290)</f>
        <v>#N/A</v>
      </c>
      <c r="F17" s="389"/>
      <c r="G17" s="389"/>
      <c r="H17" s="393">
        <f>F17-G17</f>
        <v>0</v>
      </c>
      <c r="I17" s="393" t="e">
        <f>G17-E17</f>
        <v>#N/A</v>
      </c>
      <c r="J17" s="394" t="e">
        <f>(H17/I17)*100</f>
        <v>#N/A</v>
      </c>
      <c r="L17" s="539"/>
      <c r="M17" s="540"/>
      <c r="N17" s="540"/>
      <c r="O17" s="541"/>
      <c r="P17" s="364"/>
      <c r="Q17" s="299"/>
      <c r="R17" s="290"/>
      <c r="W17" s="289"/>
    </row>
    <row r="18" spans="2:23" ht="14.1" customHeight="1">
      <c r="B18" s="362"/>
      <c r="C18" s="387"/>
      <c r="D18" s="388"/>
      <c r="E18" s="389" t="e">
        <f t="shared" si="0"/>
        <v>#N/A</v>
      </c>
      <c r="F18" s="389"/>
      <c r="G18" s="389"/>
      <c r="H18" s="393">
        <f>F18-G18</f>
        <v>0</v>
      </c>
      <c r="I18" s="393" t="e">
        <f>G18-E18</f>
        <v>#N/A</v>
      </c>
      <c r="J18" s="394" t="e">
        <f>(H18/I18)*100</f>
        <v>#N/A</v>
      </c>
      <c r="L18" s="539"/>
      <c r="M18" s="540"/>
      <c r="N18" s="540"/>
      <c r="O18" s="541"/>
      <c r="P18" s="364"/>
      <c r="Q18" s="299"/>
      <c r="R18" s="407" t="e">
        <f>IF(N30&gt;=V23,"C","M")</f>
        <v>#VALUE!</v>
      </c>
      <c r="S18" s="407" t="e">
        <f>IF(N28&gt;=50,"H","L")</f>
        <v>#VALUE!</v>
      </c>
    </row>
    <row r="19" spans="2:23" ht="14.1" customHeight="1" thickBot="1">
      <c r="B19" s="362"/>
      <c r="C19" s="390"/>
      <c r="D19" s="391"/>
      <c r="E19" s="392" t="e">
        <f t="shared" si="0"/>
        <v>#N/A</v>
      </c>
      <c r="F19" s="392"/>
      <c r="G19" s="392"/>
      <c r="H19" s="395">
        <f>F19-G19</f>
        <v>0</v>
      </c>
      <c r="I19" s="395" t="e">
        <f>G19-E19</f>
        <v>#N/A</v>
      </c>
      <c r="J19" s="396" t="e">
        <f>(H19/I19)*100</f>
        <v>#N/A</v>
      </c>
      <c r="L19" s="542"/>
      <c r="M19" s="543"/>
      <c r="N19" s="543"/>
      <c r="O19" s="544"/>
      <c r="P19" s="365"/>
      <c r="Q19" s="299"/>
      <c r="R19" s="286" t="e">
        <f>IF(R18="C","Arcilla", "Limo")</f>
        <v>#VALUE!</v>
      </c>
      <c r="S19" s="285" t="e">
        <f>IF(S18="H","de alta deformabilidad", "de baja deformabilidad")</f>
        <v>#VALUE!</v>
      </c>
    </row>
    <row r="20" spans="2:23" ht="14.1" customHeight="1">
      <c r="B20" s="362"/>
      <c r="P20" s="366"/>
      <c r="R20" s="289"/>
    </row>
    <row r="21" spans="2:23" ht="14.1" customHeight="1" thickBot="1">
      <c r="B21" s="362"/>
      <c r="C21" s="363" t="s">
        <v>53</v>
      </c>
      <c r="D21" s="363"/>
      <c r="E21" s="363"/>
      <c r="F21" s="363"/>
      <c r="G21" s="363"/>
      <c r="H21" s="363"/>
      <c r="I21" s="363"/>
      <c r="J21" s="367"/>
      <c r="L21" s="363" t="s">
        <v>117</v>
      </c>
      <c r="M21" s="363"/>
      <c r="N21" s="363"/>
      <c r="O21" s="363"/>
      <c r="P21" s="298"/>
      <c r="R21" s="289"/>
    </row>
    <row r="22" spans="2:23" ht="14.1" customHeight="1">
      <c r="B22" s="362"/>
      <c r="C22" s="524" t="s">
        <v>115</v>
      </c>
      <c r="D22" s="520" t="s">
        <v>130</v>
      </c>
      <c r="E22" s="417" t="s">
        <v>131</v>
      </c>
      <c r="F22" s="520" t="s">
        <v>132</v>
      </c>
      <c r="G22" s="520" t="s">
        <v>133</v>
      </c>
      <c r="H22" s="520" t="s">
        <v>134</v>
      </c>
      <c r="I22" s="522" t="s">
        <v>116</v>
      </c>
      <c r="J22" s="287"/>
      <c r="L22" s="524" t="s">
        <v>118</v>
      </c>
      <c r="M22" s="520" t="s">
        <v>135</v>
      </c>
      <c r="N22" s="520" t="s">
        <v>136</v>
      </c>
      <c r="O22" s="522" t="s">
        <v>137</v>
      </c>
      <c r="P22" s="298"/>
    </row>
    <row r="23" spans="2:23" ht="14.1" customHeight="1">
      <c r="B23" s="362"/>
      <c r="C23" s="525"/>
      <c r="D23" s="521"/>
      <c r="E23" s="418"/>
      <c r="F23" s="521"/>
      <c r="G23" s="521"/>
      <c r="H23" s="521"/>
      <c r="I23" s="523"/>
      <c r="L23" s="525"/>
      <c r="M23" s="521"/>
      <c r="N23" s="521"/>
      <c r="O23" s="523"/>
      <c r="P23" s="298" t="s">
        <v>119</v>
      </c>
      <c r="V23" s="285" t="e">
        <f>0.73*(N28-20)</f>
        <v>#VALUE!</v>
      </c>
    </row>
    <row r="24" spans="2:23" ht="14.1" customHeight="1">
      <c r="B24" s="362"/>
      <c r="C24" s="525"/>
      <c r="D24" s="385" t="s">
        <v>85</v>
      </c>
      <c r="E24" s="385" t="s">
        <v>85</v>
      </c>
      <c r="F24" s="385" t="s">
        <v>85</v>
      </c>
      <c r="G24" s="385" t="s">
        <v>85</v>
      </c>
      <c r="H24" s="385" t="s">
        <v>85</v>
      </c>
      <c r="I24" s="386" t="s">
        <v>31</v>
      </c>
      <c r="L24" s="525"/>
      <c r="M24" s="385" t="s">
        <v>4</v>
      </c>
      <c r="N24" s="385" t="s">
        <v>4</v>
      </c>
      <c r="O24" s="386" t="s">
        <v>31</v>
      </c>
      <c r="P24" s="369"/>
    </row>
    <row r="25" spans="2:23" ht="14.1" customHeight="1">
      <c r="B25" s="362"/>
      <c r="C25" s="387"/>
      <c r="D25" s="389" t="e">
        <f>LOOKUP(C25, $Z$91:$AA$290)</f>
        <v>#N/A</v>
      </c>
      <c r="E25" s="389"/>
      <c r="F25" s="389"/>
      <c r="G25" s="393">
        <f>E25-F25</f>
        <v>0</v>
      </c>
      <c r="H25" s="393" t="e">
        <f>F25-D25</f>
        <v>#N/A</v>
      </c>
      <c r="I25" s="394" t="e">
        <f>(G25/H25)*100</f>
        <v>#N/A</v>
      </c>
      <c r="L25" s="387" t="s">
        <v>86</v>
      </c>
      <c r="M25" s="389"/>
      <c r="N25" s="389"/>
      <c r="O25" s="394" t="s">
        <v>152</v>
      </c>
      <c r="P25" s="365"/>
      <c r="Q25" s="287"/>
    </row>
    <row r="26" spans="2:23" ht="14.1" customHeight="1" thickBot="1">
      <c r="B26" s="362"/>
      <c r="C26" s="390"/>
      <c r="D26" s="392" t="e">
        <f>LOOKUP(C26, $Z$91:$AA$290)</f>
        <v>#N/A</v>
      </c>
      <c r="E26" s="392"/>
      <c r="F26" s="392"/>
      <c r="G26" s="395">
        <f>E26-F26</f>
        <v>0</v>
      </c>
      <c r="H26" s="395" t="e">
        <f>F26-D26</f>
        <v>#N/A</v>
      </c>
      <c r="I26" s="396" t="e">
        <f>(G26/H26)*100</f>
        <v>#N/A</v>
      </c>
      <c r="L26" s="390"/>
      <c r="M26" s="392"/>
      <c r="N26" s="392"/>
      <c r="O26" s="396"/>
      <c r="P26" s="298"/>
      <c r="V26" s="288"/>
    </row>
    <row r="27" spans="2:23" ht="14.1" customHeight="1" thickBot="1">
      <c r="B27" s="362"/>
      <c r="P27" s="298"/>
      <c r="S27" s="286" t="s">
        <v>120</v>
      </c>
    </row>
    <row r="28" spans="2:23" ht="14.1" customHeight="1">
      <c r="B28" s="362"/>
      <c r="C28" s="545" t="s">
        <v>145</v>
      </c>
      <c r="D28" s="546"/>
      <c r="E28" s="546"/>
      <c r="F28" s="546"/>
      <c r="G28" s="397"/>
      <c r="H28" s="410" t="e">
        <f>R19</f>
        <v>#VALUE!</v>
      </c>
      <c r="I28" s="227" t="e">
        <f>S19</f>
        <v>#VALUE!</v>
      </c>
      <c r="J28" s="401"/>
      <c r="K28" s="398"/>
      <c r="L28" s="398"/>
      <c r="M28" s="173" t="s">
        <v>81</v>
      </c>
      <c r="N28" s="526" t="e">
        <f>TREND(J16:J19,LOG10(C16:C19),LOG10(25))</f>
        <v>#VALUE!</v>
      </c>
      <c r="O28" s="527"/>
      <c r="P28" s="298"/>
      <c r="Q28" s="285" t="s">
        <v>156</v>
      </c>
      <c r="W28" s="273"/>
    </row>
    <row r="29" spans="2:23" ht="14.1" customHeight="1">
      <c r="B29" s="362"/>
      <c r="C29" s="547" t="s">
        <v>148</v>
      </c>
      <c r="D29" s="548"/>
      <c r="E29" s="548"/>
      <c r="F29" s="548"/>
      <c r="G29" s="177" t="e">
        <f>IF(N28&lt;3,"Baja Plasticidad",IF(N28&lt;50,"Plasticidad Intermedia",IF(N28&lt;100,"Alta Plasticidad",IF(N28&lt;200,"Muy Alta  Plasticidad",IF(N28&lt;500,"Extremadamente Alta Plasticidad")))))</f>
        <v>#VALUE!</v>
      </c>
      <c r="H29" s="202"/>
      <c r="I29" s="202"/>
      <c r="J29" s="402"/>
      <c r="K29" s="273"/>
      <c r="L29" s="273"/>
      <c r="M29" s="399" t="s">
        <v>82</v>
      </c>
      <c r="N29" s="528" t="e">
        <f>AVERAGE(I25:I26)</f>
        <v>#N/A</v>
      </c>
      <c r="O29" s="529"/>
      <c r="P29" s="298"/>
      <c r="S29" s="289">
        <v>25</v>
      </c>
      <c r="T29" s="289">
        <v>0</v>
      </c>
      <c r="W29" s="273"/>
    </row>
    <row r="30" spans="2:23" ht="14.1" customHeight="1">
      <c r="B30" s="362"/>
      <c r="C30" s="547" t="s">
        <v>149</v>
      </c>
      <c r="D30" s="548"/>
      <c r="E30" s="548"/>
      <c r="F30" s="548"/>
      <c r="G30" s="178" t="e">
        <f>IF(0.009*(N28-10)&lt;0.3,"Baja Compresibilidad",IF(0.009*(N28-10)&lt;0.5,"Media Compresibilidad",IF(0.009*(N28-10)&lt;0.1,"Alta Compresibilidad",IF(0.009*(N28-10)&lt;10,"Muy Alta Compresibilidad",IF(0.009*(N28-10)&lt;20,"Extremadamente Alta Compresibilidad")))))</f>
        <v>#VALUE!</v>
      </c>
      <c r="H30" s="202"/>
      <c r="I30" s="202"/>
      <c r="J30" s="402"/>
      <c r="K30" s="273"/>
      <c r="L30" s="273"/>
      <c r="M30" s="85" t="s">
        <v>83</v>
      </c>
      <c r="N30" s="528" t="e">
        <f>N28-N29</f>
        <v>#VALUE!</v>
      </c>
      <c r="O30" s="529"/>
      <c r="P30" s="298"/>
      <c r="S30" s="289">
        <v>50</v>
      </c>
      <c r="T30" s="289">
        <v>0</v>
      </c>
      <c r="W30" s="273"/>
    </row>
    <row r="31" spans="2:23" ht="14.1" customHeight="1">
      <c r="B31" s="362"/>
      <c r="C31" s="549" t="s">
        <v>80</v>
      </c>
      <c r="D31" s="550"/>
      <c r="E31" s="550"/>
      <c r="F31" s="550"/>
      <c r="G31" s="404" t="e">
        <f>(N28-N32)/N30</f>
        <v>#VALUE!</v>
      </c>
      <c r="H31" s="403" t="e">
        <f>IF(G31&gt;1,"Media Dura , Sólida",IF(G31&gt;0.75,"Plástica",IF(G31&gt;0.5,"Suave",IF(G31&gt;0.25,"Semiliquida",IF(G31&gt;0,"Viscosa","Consistencia Líquida")))))</f>
        <v>#VALUE!</v>
      </c>
      <c r="I31" s="202"/>
      <c r="J31" s="402"/>
      <c r="K31" s="273"/>
      <c r="L31" s="273"/>
      <c r="M31" s="85" t="s">
        <v>146</v>
      </c>
      <c r="N31" s="528" t="s">
        <v>152</v>
      </c>
      <c r="O31" s="529"/>
      <c r="P31" s="298"/>
      <c r="S31" s="289"/>
      <c r="T31" s="289"/>
    </row>
    <row r="32" spans="2:23" ht="14.1" customHeight="1" thickBot="1">
      <c r="B32" s="362"/>
      <c r="C32" s="551" t="s">
        <v>147</v>
      </c>
      <c r="D32" s="552"/>
      <c r="E32" s="552"/>
      <c r="F32" s="552"/>
      <c r="G32" s="405">
        <f>Gs!L42</f>
        <v>0</v>
      </c>
      <c r="H32" s="400"/>
      <c r="I32" s="180"/>
      <c r="J32" s="400"/>
      <c r="K32" s="400"/>
      <c r="L32" s="400"/>
      <c r="M32" s="181" t="s">
        <v>55</v>
      </c>
      <c r="N32" s="530" t="e">
        <f>'w%'!L7</f>
        <v>#N/A</v>
      </c>
      <c r="O32" s="531"/>
      <c r="P32" s="298"/>
      <c r="S32" s="289">
        <v>50</v>
      </c>
      <c r="T32" s="289">
        <v>200</v>
      </c>
      <c r="V32" s="273"/>
      <c r="W32" s="273"/>
    </row>
    <row r="33" spans="2:23" ht="14.1" customHeight="1">
      <c r="B33" s="362"/>
      <c r="C33" s="289"/>
      <c r="D33" s="287"/>
      <c r="E33" s="287"/>
      <c r="F33" s="287"/>
      <c r="G33" s="287"/>
      <c r="H33" s="287"/>
      <c r="I33" s="370"/>
      <c r="J33" s="370"/>
      <c r="K33" s="370"/>
      <c r="L33" s="370"/>
      <c r="M33" s="370"/>
      <c r="N33" s="370"/>
      <c r="O33" s="370"/>
      <c r="P33" s="298"/>
      <c r="R33" s="273"/>
      <c r="S33" s="273"/>
      <c r="T33" s="273"/>
      <c r="V33" s="273"/>
      <c r="W33" s="273"/>
    </row>
    <row r="34" spans="2:23" ht="14.1" customHeight="1">
      <c r="B34" s="362"/>
      <c r="D34" s="371" t="s">
        <v>122</v>
      </c>
      <c r="E34" s="294"/>
      <c r="F34" s="294"/>
      <c r="G34" s="294"/>
      <c r="H34" s="294"/>
      <c r="I34" s="294"/>
      <c r="J34" s="294"/>
      <c r="K34" s="294"/>
      <c r="L34" s="294"/>
      <c r="M34" s="372"/>
      <c r="N34" s="294"/>
      <c r="O34" s="294"/>
      <c r="P34" s="298"/>
      <c r="R34" s="516" t="s">
        <v>56</v>
      </c>
      <c r="S34" s="289">
        <v>8</v>
      </c>
      <c r="T34" s="289">
        <f>0.9*(S34-8)</f>
        <v>0</v>
      </c>
      <c r="V34" s="273"/>
      <c r="W34" s="273"/>
    </row>
    <row r="35" spans="2:23" ht="14.1" customHeight="1">
      <c r="B35" s="362"/>
      <c r="D35" s="373"/>
      <c r="E35" s="373"/>
      <c r="F35" s="363"/>
      <c r="G35" s="373"/>
      <c r="H35" s="363"/>
      <c r="I35" s="373"/>
      <c r="J35" s="373"/>
      <c r="K35" s="373"/>
      <c r="L35" s="373"/>
      <c r="M35" s="373"/>
      <c r="N35" s="373"/>
      <c r="O35" s="373"/>
      <c r="P35" s="298"/>
      <c r="R35" s="516"/>
      <c r="S35" s="289">
        <v>120</v>
      </c>
      <c r="T35" s="289">
        <f>0.9*(S35-8)</f>
        <v>100.8</v>
      </c>
      <c r="V35" s="273"/>
      <c r="W35" s="273"/>
    </row>
    <row r="36" spans="2:23" ht="14.1" customHeight="1">
      <c r="B36" s="362"/>
      <c r="D36" s="373"/>
      <c r="E36" s="289"/>
      <c r="F36" s="363"/>
      <c r="G36" s="373"/>
      <c r="H36" s="363"/>
      <c r="I36" s="373"/>
      <c r="J36" s="373"/>
      <c r="K36" s="373"/>
      <c r="L36" s="373"/>
      <c r="M36" s="373"/>
      <c r="N36" s="373"/>
      <c r="O36" s="373"/>
      <c r="P36" s="298"/>
      <c r="R36" s="295"/>
      <c r="V36" s="273"/>
      <c r="W36" s="273"/>
    </row>
    <row r="37" spans="2:23" ht="14.1" customHeight="1">
      <c r="B37" s="362"/>
      <c r="D37" s="373"/>
      <c r="E37" s="363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98"/>
      <c r="R37" s="516" t="s">
        <v>123</v>
      </c>
      <c r="S37" s="289">
        <f>(4/0.73)+20</f>
        <v>25.479452054794521</v>
      </c>
      <c r="T37" s="289">
        <f>0.73*(S37-20)</f>
        <v>4</v>
      </c>
      <c r="V37" s="273"/>
      <c r="W37" s="273"/>
    </row>
    <row r="38" spans="2:23" ht="14.1" customHeight="1">
      <c r="B38" s="362"/>
      <c r="D38" s="374"/>
      <c r="E38" s="375"/>
      <c r="F38" s="376"/>
      <c r="G38" s="377"/>
      <c r="H38" s="378"/>
      <c r="I38" s="379"/>
      <c r="J38" s="379"/>
      <c r="K38" s="380"/>
      <c r="L38" s="379"/>
      <c r="M38" s="379"/>
      <c r="N38" s="368"/>
      <c r="O38" s="368"/>
      <c r="P38" s="298"/>
      <c r="R38" s="516"/>
      <c r="S38" s="289">
        <v>120</v>
      </c>
      <c r="T38" s="289">
        <f>0.73*(S38-20)</f>
        <v>73</v>
      </c>
      <c r="V38" s="273"/>
      <c r="W38" s="273"/>
    </row>
    <row r="39" spans="2:23" ht="14.1" customHeight="1">
      <c r="B39" s="362"/>
      <c r="D39" s="374"/>
      <c r="E39" s="375"/>
      <c r="F39" s="381"/>
      <c r="G39" s="377"/>
      <c r="H39" s="378"/>
      <c r="I39" s="379"/>
      <c r="J39" s="379"/>
      <c r="K39" s="380"/>
      <c r="L39" s="379"/>
      <c r="M39" s="379"/>
      <c r="N39" s="368"/>
      <c r="O39" s="368"/>
      <c r="P39" s="298"/>
      <c r="S39" s="289"/>
      <c r="T39" s="289"/>
      <c r="U39" s="294"/>
      <c r="V39" s="273"/>
      <c r="W39" s="273"/>
    </row>
    <row r="40" spans="2:23" ht="14.1" customHeight="1">
      <c r="B40" s="362"/>
      <c r="P40" s="298"/>
      <c r="S40" s="289">
        <f>(4/0.9)+8</f>
        <v>12.444444444444445</v>
      </c>
      <c r="T40" s="289">
        <v>4</v>
      </c>
      <c r="V40" s="273"/>
      <c r="W40" s="273"/>
    </row>
    <row r="41" spans="2:23" ht="14.1" customHeight="1">
      <c r="B41" s="362"/>
      <c r="P41" s="298"/>
      <c r="S41" s="289">
        <f>S37</f>
        <v>25.479452054794521</v>
      </c>
      <c r="T41" s="289">
        <v>4</v>
      </c>
      <c r="V41" s="273"/>
      <c r="W41" s="273"/>
    </row>
    <row r="42" spans="2:23" ht="14.1" customHeight="1">
      <c r="B42" s="362"/>
      <c r="N42" s="382"/>
      <c r="P42" s="383"/>
      <c r="S42" s="289">
        <f>(7/0.9)+8</f>
        <v>15.777777777777779</v>
      </c>
      <c r="T42" s="289">
        <v>7</v>
      </c>
      <c r="V42" s="273"/>
      <c r="W42" s="273"/>
    </row>
    <row r="43" spans="2:23" ht="14.1" customHeight="1">
      <c r="B43" s="362"/>
      <c r="N43" s="382"/>
      <c r="P43" s="383"/>
      <c r="S43" s="289">
        <f>(7/0.73)+20</f>
        <v>29.589041095890412</v>
      </c>
      <c r="T43" s="289">
        <v>7</v>
      </c>
      <c r="U43" s="289"/>
      <c r="V43" s="273"/>
      <c r="W43" s="273"/>
    </row>
    <row r="44" spans="2:23" ht="14.1" customHeight="1">
      <c r="B44" s="362"/>
      <c r="N44" s="382"/>
      <c r="P44" s="383"/>
      <c r="T44" s="289"/>
      <c r="U44" s="289"/>
      <c r="V44" s="273"/>
      <c r="W44" s="273"/>
    </row>
    <row r="45" spans="2:23" ht="14.1" customHeight="1">
      <c r="B45" s="362"/>
      <c r="P45" s="298"/>
      <c r="T45" s="289"/>
      <c r="U45" s="289"/>
      <c r="V45" s="273"/>
      <c r="W45" s="273"/>
    </row>
    <row r="46" spans="2:23" ht="14.1" customHeight="1">
      <c r="B46" s="362"/>
      <c r="P46" s="298"/>
      <c r="T46" s="289"/>
      <c r="U46" s="289"/>
      <c r="V46" s="273"/>
      <c r="W46" s="273"/>
    </row>
    <row r="47" spans="2:23" ht="14.1" customHeight="1">
      <c r="B47" s="362"/>
      <c r="P47" s="298"/>
      <c r="S47" s="285" t="s">
        <v>151</v>
      </c>
      <c r="U47" s="289"/>
      <c r="V47" s="273"/>
      <c r="W47" s="273"/>
    </row>
    <row r="48" spans="2:23" ht="14.1" customHeight="1">
      <c r="B48" s="362"/>
      <c r="P48" s="298"/>
      <c r="S48" s="285">
        <v>25</v>
      </c>
      <c r="T48" s="297">
        <v>62</v>
      </c>
      <c r="U48" s="289"/>
      <c r="V48" s="273"/>
      <c r="W48" s="273"/>
    </row>
    <row r="49" spans="2:23" ht="14.1" customHeight="1">
      <c r="B49" s="362"/>
      <c r="P49" s="298"/>
      <c r="S49" s="285">
        <v>25</v>
      </c>
      <c r="T49" s="297">
        <v>72.27</v>
      </c>
      <c r="U49" s="289"/>
      <c r="V49" s="273"/>
      <c r="W49" s="273"/>
    </row>
    <row r="50" spans="2:23" ht="14.1" customHeight="1">
      <c r="B50" s="362"/>
      <c r="P50" s="298"/>
      <c r="T50" s="289"/>
      <c r="U50" s="289"/>
      <c r="V50" s="273"/>
      <c r="W50" s="273"/>
    </row>
    <row r="51" spans="2:23" ht="14.1" customHeight="1">
      <c r="B51" s="362"/>
      <c r="P51" s="298"/>
      <c r="S51" s="285">
        <v>10</v>
      </c>
      <c r="T51" s="289" t="e">
        <f>TREND(J16:J19,LOG10(C16:C19),LOG10(25))</f>
        <v>#VALUE!</v>
      </c>
      <c r="U51" s="289"/>
    </row>
    <row r="52" spans="2:23" ht="14.1" customHeight="1">
      <c r="B52" s="362"/>
      <c r="L52" s="288"/>
      <c r="P52" s="298"/>
      <c r="S52" s="285">
        <v>25</v>
      </c>
      <c r="T52" s="289" t="e">
        <f>TREND(J16:J19,LOG10(C16:C19),LOG10(25))</f>
        <v>#VALUE!</v>
      </c>
      <c r="U52" s="289"/>
    </row>
    <row r="53" spans="2:23" ht="6" customHeight="1" thickBot="1">
      <c r="B53" s="291"/>
      <c r="C53" s="292"/>
      <c r="D53" s="292"/>
      <c r="E53" s="292"/>
      <c r="F53" s="292"/>
      <c r="G53" s="292"/>
      <c r="H53" s="292"/>
      <c r="I53" s="292"/>
      <c r="J53" s="384"/>
      <c r="K53" s="384"/>
      <c r="L53" s="292"/>
      <c r="M53" s="292"/>
      <c r="N53" s="292"/>
      <c r="O53" s="292"/>
      <c r="P53" s="293"/>
    </row>
    <row r="54" spans="2:23" ht="14.1" customHeight="1"/>
    <row r="55" spans="2:23" ht="14.1" customHeight="1"/>
    <row r="56" spans="2:23" ht="14.1" customHeight="1">
      <c r="H56" s="294"/>
      <c r="I56" s="294"/>
      <c r="J56" s="294"/>
      <c r="K56" s="294"/>
    </row>
    <row r="57" spans="2:23" ht="14.1" customHeight="1">
      <c r="H57" s="294"/>
      <c r="I57" s="294"/>
      <c r="J57" s="294"/>
      <c r="K57" s="294"/>
    </row>
    <row r="58" spans="2:23" ht="14.1" customHeight="1">
      <c r="H58" s="294"/>
      <c r="I58" s="294"/>
      <c r="J58" s="294"/>
      <c r="K58" s="294"/>
    </row>
    <row r="59" spans="2:23" ht="14.1" customHeight="1">
      <c r="R59" s="294"/>
      <c r="S59" s="294"/>
      <c r="T59" s="294"/>
      <c r="U59" s="294"/>
    </row>
    <row r="60" spans="2:23" ht="14.1" customHeight="1">
      <c r="R60" s="294"/>
      <c r="S60" s="294"/>
      <c r="T60" s="294"/>
      <c r="U60" s="294"/>
    </row>
    <row r="61" spans="2:23" ht="14.1" customHeight="1">
      <c r="R61" s="294"/>
      <c r="S61" s="294"/>
      <c r="T61" s="294"/>
      <c r="U61" s="294"/>
    </row>
    <row r="62" spans="2:23" ht="14.1" customHeight="1">
      <c r="R62" s="294"/>
      <c r="S62" s="294"/>
      <c r="T62" s="294"/>
      <c r="U62" s="294"/>
    </row>
    <row r="63" spans="2:23" ht="14.1" customHeight="1"/>
    <row r="64" spans="2:23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84" spans="5:27">
      <c r="E84" s="296"/>
    </row>
    <row r="90" spans="5:27">
      <c r="Z90" s="406" t="s">
        <v>153</v>
      </c>
      <c r="AA90" s="406" t="s">
        <v>154</v>
      </c>
    </row>
    <row r="91" spans="5:27">
      <c r="Z91" s="406">
        <v>1</v>
      </c>
      <c r="AA91" s="406">
        <v>12.62</v>
      </c>
    </row>
    <row r="92" spans="5:27">
      <c r="Z92" s="406">
        <v>2</v>
      </c>
      <c r="AA92" s="406">
        <v>13.11</v>
      </c>
    </row>
    <row r="93" spans="5:27">
      <c r="Z93" s="406">
        <v>3</v>
      </c>
      <c r="AA93" s="406">
        <v>12.88</v>
      </c>
    </row>
    <row r="94" spans="5:27">
      <c r="Z94" s="406">
        <v>4</v>
      </c>
      <c r="AA94" s="406">
        <v>12.87</v>
      </c>
    </row>
    <row r="95" spans="5:27">
      <c r="Z95" s="406">
        <v>5</v>
      </c>
      <c r="AA95" s="406">
        <v>12.97</v>
      </c>
    </row>
    <row r="96" spans="5:27">
      <c r="Z96" s="406">
        <v>6</v>
      </c>
      <c r="AA96" s="406">
        <v>13.2</v>
      </c>
    </row>
    <row r="97" spans="26:27">
      <c r="Z97" s="406">
        <v>7</v>
      </c>
      <c r="AA97" s="406">
        <v>12.73</v>
      </c>
    </row>
    <row r="98" spans="26:27">
      <c r="Z98" s="406">
        <v>8</v>
      </c>
      <c r="AA98" s="406">
        <v>13.2</v>
      </c>
    </row>
    <row r="99" spans="26:27">
      <c r="Z99" s="406">
        <v>9</v>
      </c>
      <c r="AA99" s="406">
        <v>13.22</v>
      </c>
    </row>
    <row r="100" spans="26:27">
      <c r="Z100" s="406">
        <v>10</v>
      </c>
      <c r="AA100" s="406">
        <v>13.33</v>
      </c>
    </row>
    <row r="101" spans="26:27">
      <c r="Z101" s="406">
        <v>11</v>
      </c>
      <c r="AA101" s="406">
        <v>10.97</v>
      </c>
    </row>
    <row r="102" spans="26:27">
      <c r="Z102" s="406">
        <v>12</v>
      </c>
      <c r="AA102" s="406">
        <v>11.1</v>
      </c>
    </row>
    <row r="103" spans="26:27">
      <c r="Z103" s="406">
        <v>13</v>
      </c>
      <c r="AA103" s="406">
        <v>11.07</v>
      </c>
    </row>
    <row r="104" spans="26:27">
      <c r="Z104" s="406">
        <v>14</v>
      </c>
      <c r="AA104" s="406">
        <v>13.03</v>
      </c>
    </row>
    <row r="105" spans="26:27">
      <c r="Z105" s="406">
        <v>15</v>
      </c>
      <c r="AA105" s="406">
        <v>12.86</v>
      </c>
    </row>
    <row r="106" spans="26:27">
      <c r="Z106" s="406">
        <v>16</v>
      </c>
      <c r="AA106" s="406">
        <v>13</v>
      </c>
    </row>
    <row r="107" spans="26:27">
      <c r="Z107" s="406">
        <v>17</v>
      </c>
      <c r="AA107" s="406">
        <v>12.91</v>
      </c>
    </row>
    <row r="108" spans="26:27">
      <c r="Z108" s="406">
        <v>18</v>
      </c>
      <c r="AA108" s="406">
        <v>13.02</v>
      </c>
    </row>
    <row r="109" spans="26:27">
      <c r="Z109" s="406">
        <v>19</v>
      </c>
      <c r="AA109" s="406">
        <v>13.21</v>
      </c>
    </row>
    <row r="110" spans="26:27">
      <c r="Z110" s="406">
        <v>20</v>
      </c>
      <c r="AA110" s="406">
        <v>12.99</v>
      </c>
    </row>
    <row r="111" spans="26:27">
      <c r="Z111" s="406">
        <v>21</v>
      </c>
      <c r="AA111" s="406">
        <v>11</v>
      </c>
    </row>
    <row r="112" spans="26:27">
      <c r="Z112" s="406">
        <v>22</v>
      </c>
      <c r="AA112" s="406">
        <v>10.67</v>
      </c>
    </row>
    <row r="113" spans="26:27">
      <c r="Z113" s="406">
        <v>23</v>
      </c>
      <c r="AA113" s="406">
        <v>10.94</v>
      </c>
    </row>
    <row r="114" spans="26:27">
      <c r="Z114" s="406">
        <v>24</v>
      </c>
      <c r="AA114" s="406">
        <v>10.83</v>
      </c>
    </row>
    <row r="115" spans="26:27">
      <c r="Z115" s="406">
        <v>25</v>
      </c>
      <c r="AA115" s="406">
        <v>10.95</v>
      </c>
    </row>
    <row r="116" spans="26:27">
      <c r="Z116" s="406">
        <v>26</v>
      </c>
      <c r="AA116" s="406">
        <v>10.54</v>
      </c>
    </row>
    <row r="117" spans="26:27">
      <c r="Z117" s="406">
        <v>27</v>
      </c>
      <c r="AA117" s="406">
        <v>10.69</v>
      </c>
    </row>
    <row r="118" spans="26:27">
      <c r="Z118" s="406">
        <v>28</v>
      </c>
      <c r="AA118" s="406">
        <v>12.86</v>
      </c>
    </row>
    <row r="119" spans="26:27">
      <c r="Z119" s="406">
        <v>29</v>
      </c>
      <c r="AA119" s="406">
        <v>13.25</v>
      </c>
    </row>
    <row r="120" spans="26:27">
      <c r="Z120" s="406">
        <v>30</v>
      </c>
      <c r="AA120" s="406">
        <v>13.03</v>
      </c>
    </row>
    <row r="121" spans="26:27">
      <c r="Z121" s="406">
        <v>31</v>
      </c>
      <c r="AA121" s="406">
        <v>10.98</v>
      </c>
    </row>
    <row r="122" spans="26:27">
      <c r="Z122" s="406">
        <v>32</v>
      </c>
      <c r="AA122" s="406">
        <v>11.15</v>
      </c>
    </row>
    <row r="123" spans="26:27">
      <c r="Z123" s="406">
        <v>33</v>
      </c>
      <c r="AA123" s="406">
        <v>12.83</v>
      </c>
    </row>
    <row r="124" spans="26:27">
      <c r="Z124" s="406">
        <v>34</v>
      </c>
      <c r="AA124" s="406">
        <v>13.27</v>
      </c>
    </row>
    <row r="125" spans="26:27">
      <c r="Z125" s="406">
        <v>35</v>
      </c>
      <c r="AA125" s="406">
        <v>12.63</v>
      </c>
    </row>
    <row r="126" spans="26:27">
      <c r="Z126" s="406">
        <v>36</v>
      </c>
      <c r="AA126" s="406">
        <v>12.7</v>
      </c>
    </row>
    <row r="127" spans="26:27">
      <c r="Z127" s="406">
        <v>37</v>
      </c>
      <c r="AA127" s="406">
        <v>13.07</v>
      </c>
    </row>
    <row r="128" spans="26:27">
      <c r="Z128" s="406">
        <v>38</v>
      </c>
      <c r="AA128" s="406">
        <v>12.93</v>
      </c>
    </row>
    <row r="129" spans="26:27">
      <c r="Z129" s="406">
        <v>39</v>
      </c>
      <c r="AA129" s="406">
        <v>13</v>
      </c>
    </row>
    <row r="130" spans="26:27">
      <c r="Z130" s="406">
        <v>40</v>
      </c>
      <c r="AA130" s="406">
        <v>13</v>
      </c>
    </row>
    <row r="131" spans="26:27">
      <c r="Z131" s="406">
        <v>41</v>
      </c>
      <c r="AA131" s="406">
        <v>13</v>
      </c>
    </row>
    <row r="132" spans="26:27">
      <c r="Z132" s="406">
        <v>42</v>
      </c>
      <c r="AA132" s="406">
        <v>10.86</v>
      </c>
    </row>
    <row r="133" spans="26:27">
      <c r="Z133" s="406">
        <v>43</v>
      </c>
      <c r="AA133" s="406">
        <v>12.76</v>
      </c>
    </row>
    <row r="134" spans="26:27">
      <c r="Z134" s="406">
        <v>44</v>
      </c>
      <c r="AA134" s="406">
        <v>13.11</v>
      </c>
    </row>
    <row r="135" spans="26:27">
      <c r="Z135" s="406">
        <v>45</v>
      </c>
      <c r="AA135" s="406">
        <v>11.95</v>
      </c>
    </row>
    <row r="136" spans="26:27">
      <c r="Z136" s="406">
        <v>46</v>
      </c>
      <c r="AA136" s="406">
        <v>13.15</v>
      </c>
    </row>
    <row r="137" spans="26:27">
      <c r="Z137" s="406">
        <v>47</v>
      </c>
      <c r="AA137" s="406">
        <v>12.13</v>
      </c>
    </row>
    <row r="138" spans="26:27">
      <c r="Z138" s="406">
        <v>48</v>
      </c>
      <c r="AA138" s="406">
        <v>12.84</v>
      </c>
    </row>
    <row r="139" spans="26:27">
      <c r="Z139" s="406">
        <v>49</v>
      </c>
      <c r="AA139" s="406">
        <v>13.2</v>
      </c>
    </row>
    <row r="140" spans="26:27">
      <c r="Z140" s="406">
        <v>50</v>
      </c>
      <c r="AA140" s="406">
        <v>11.69</v>
      </c>
    </row>
    <row r="141" spans="26:27">
      <c r="Z141" s="406">
        <v>51</v>
      </c>
      <c r="AA141" s="406">
        <v>13.2</v>
      </c>
    </row>
    <row r="142" spans="26:27">
      <c r="Z142" s="406">
        <v>52</v>
      </c>
      <c r="AA142" s="406">
        <v>12.78</v>
      </c>
    </row>
    <row r="143" spans="26:27">
      <c r="Z143" s="406">
        <v>53</v>
      </c>
      <c r="AA143" s="406">
        <v>13.12</v>
      </c>
    </row>
    <row r="144" spans="26:27">
      <c r="Z144" s="406">
        <v>54</v>
      </c>
      <c r="AA144" s="406">
        <v>13.14</v>
      </c>
    </row>
    <row r="145" spans="26:27">
      <c r="Z145" s="406">
        <v>55</v>
      </c>
      <c r="AA145" s="406">
        <v>10.61</v>
      </c>
    </row>
    <row r="146" spans="26:27">
      <c r="Z146" s="406">
        <v>56</v>
      </c>
      <c r="AA146" s="406">
        <v>10.67</v>
      </c>
    </row>
    <row r="147" spans="26:27">
      <c r="Z147" s="406">
        <v>57</v>
      </c>
      <c r="AA147" s="406">
        <v>11.65</v>
      </c>
    </row>
    <row r="148" spans="26:27">
      <c r="Z148" s="406">
        <v>58</v>
      </c>
      <c r="AA148" s="406">
        <v>12.92</v>
      </c>
    </row>
    <row r="149" spans="26:27">
      <c r="Z149" s="406">
        <v>59</v>
      </c>
      <c r="AA149" s="406">
        <v>12.85</v>
      </c>
    </row>
    <row r="150" spans="26:27">
      <c r="Z150" s="406">
        <v>60</v>
      </c>
      <c r="AA150" s="406">
        <v>11.07</v>
      </c>
    </row>
    <row r="151" spans="26:27">
      <c r="Z151" s="406">
        <v>61</v>
      </c>
      <c r="AA151" s="406">
        <v>11.04</v>
      </c>
    </row>
    <row r="152" spans="26:27">
      <c r="Z152" s="406">
        <v>62</v>
      </c>
      <c r="AA152" s="406">
        <v>11.04</v>
      </c>
    </row>
    <row r="153" spans="26:27">
      <c r="Z153" s="406">
        <v>63</v>
      </c>
      <c r="AA153" s="406">
        <v>12.95</v>
      </c>
    </row>
    <row r="154" spans="26:27">
      <c r="Z154" s="406">
        <v>64</v>
      </c>
      <c r="AA154" s="406">
        <v>13.03</v>
      </c>
    </row>
    <row r="155" spans="26:27">
      <c r="Z155" s="406">
        <v>65</v>
      </c>
      <c r="AA155" s="406">
        <v>13</v>
      </c>
    </row>
    <row r="156" spans="26:27">
      <c r="Z156" s="406">
        <v>66</v>
      </c>
      <c r="AA156" s="406">
        <v>10.98</v>
      </c>
    </row>
    <row r="157" spans="26:27">
      <c r="Z157" s="406">
        <v>67</v>
      </c>
      <c r="AA157" s="406">
        <v>13.09</v>
      </c>
    </row>
    <row r="158" spans="26:27">
      <c r="Z158" s="406">
        <v>68</v>
      </c>
      <c r="AA158" s="406">
        <v>12.79</v>
      </c>
    </row>
    <row r="159" spans="26:27">
      <c r="Z159" s="406">
        <v>69</v>
      </c>
      <c r="AA159" s="406">
        <v>11.05</v>
      </c>
    </row>
    <row r="160" spans="26:27">
      <c r="Z160" s="406">
        <v>70</v>
      </c>
      <c r="AA160" s="406">
        <v>11</v>
      </c>
    </row>
    <row r="161" spans="26:27">
      <c r="Z161" s="406">
        <v>71</v>
      </c>
      <c r="AA161" s="406">
        <v>13.1</v>
      </c>
    </row>
    <row r="162" spans="26:27">
      <c r="Z162" s="406">
        <v>72</v>
      </c>
      <c r="AA162" s="406">
        <v>12.99</v>
      </c>
    </row>
    <row r="163" spans="26:27">
      <c r="Z163" s="406">
        <v>73</v>
      </c>
      <c r="AA163" s="406">
        <v>13.05</v>
      </c>
    </row>
    <row r="164" spans="26:27">
      <c r="Z164" s="406">
        <v>74</v>
      </c>
      <c r="AA164" s="406">
        <v>13.04</v>
      </c>
    </row>
    <row r="165" spans="26:27">
      <c r="Z165" s="406">
        <v>75</v>
      </c>
      <c r="AA165" s="406">
        <v>13.12</v>
      </c>
    </row>
    <row r="166" spans="26:27">
      <c r="Z166" s="406">
        <v>76</v>
      </c>
      <c r="AA166" s="406">
        <v>12.95</v>
      </c>
    </row>
    <row r="167" spans="26:27">
      <c r="Z167" s="406">
        <v>77</v>
      </c>
      <c r="AA167" s="406">
        <v>12.78</v>
      </c>
    </row>
    <row r="168" spans="26:27">
      <c r="Z168" s="406">
        <v>78</v>
      </c>
      <c r="AA168" s="406">
        <v>13.21</v>
      </c>
    </row>
    <row r="169" spans="26:27">
      <c r="Z169" s="406">
        <v>79</v>
      </c>
      <c r="AA169" s="406">
        <v>13</v>
      </c>
    </row>
    <row r="170" spans="26:27">
      <c r="Z170" s="406">
        <v>80</v>
      </c>
      <c r="AA170" s="406">
        <v>12.99</v>
      </c>
    </row>
    <row r="171" spans="26:27">
      <c r="Z171" s="406">
        <v>81</v>
      </c>
      <c r="AA171" s="406">
        <v>12.9</v>
      </c>
    </row>
    <row r="172" spans="26:27">
      <c r="Z172" s="406">
        <v>82</v>
      </c>
      <c r="AA172" s="406">
        <v>11.96</v>
      </c>
    </row>
    <row r="173" spans="26:27">
      <c r="Z173" s="406">
        <v>83</v>
      </c>
      <c r="AA173" s="406">
        <v>12.7</v>
      </c>
    </row>
    <row r="174" spans="26:27">
      <c r="Z174" s="406">
        <v>84</v>
      </c>
      <c r="AA174" s="406">
        <v>10.81</v>
      </c>
    </row>
    <row r="175" spans="26:27">
      <c r="Z175" s="406">
        <v>85</v>
      </c>
      <c r="AA175" s="406">
        <v>12.94</v>
      </c>
    </row>
    <row r="176" spans="26:27">
      <c r="Z176" s="406">
        <v>86</v>
      </c>
      <c r="AA176" s="406">
        <v>10.9</v>
      </c>
    </row>
    <row r="177" spans="26:27">
      <c r="Z177" s="406">
        <v>87</v>
      </c>
      <c r="AA177" s="406">
        <v>11.01</v>
      </c>
    </row>
    <row r="178" spans="26:27">
      <c r="Z178" s="406">
        <v>88</v>
      </c>
      <c r="AA178" s="406">
        <v>11.01</v>
      </c>
    </row>
    <row r="179" spans="26:27">
      <c r="Z179" s="406">
        <v>89</v>
      </c>
      <c r="AA179" s="406">
        <v>11.06</v>
      </c>
    </row>
    <row r="180" spans="26:27">
      <c r="Z180" s="406">
        <v>90</v>
      </c>
      <c r="AA180" s="406">
        <v>11</v>
      </c>
    </row>
    <row r="181" spans="26:27">
      <c r="Z181" s="406">
        <v>91</v>
      </c>
      <c r="AA181" s="406">
        <v>13.09</v>
      </c>
    </row>
    <row r="182" spans="26:27">
      <c r="Z182" s="406">
        <v>92</v>
      </c>
      <c r="AA182" s="406">
        <v>13.02</v>
      </c>
    </row>
    <row r="183" spans="26:27">
      <c r="Z183" s="406">
        <v>93</v>
      </c>
      <c r="AA183" s="406">
        <v>12.65</v>
      </c>
    </row>
    <row r="184" spans="26:27">
      <c r="Z184" s="406">
        <v>94</v>
      </c>
      <c r="AA184" s="406">
        <v>10.44</v>
      </c>
    </row>
    <row r="185" spans="26:27">
      <c r="Z185" s="406">
        <v>95</v>
      </c>
      <c r="AA185" s="406">
        <v>11.07</v>
      </c>
    </row>
    <row r="186" spans="26:27">
      <c r="Z186" s="406">
        <v>96</v>
      </c>
      <c r="AA186" s="406">
        <v>11.23</v>
      </c>
    </row>
    <row r="187" spans="26:27">
      <c r="Z187" s="406">
        <v>97</v>
      </c>
      <c r="AA187" s="406">
        <v>13.05</v>
      </c>
    </row>
    <row r="188" spans="26:27">
      <c r="Z188" s="406">
        <v>98</v>
      </c>
      <c r="AA188" s="406">
        <v>11.81</v>
      </c>
    </row>
    <row r="189" spans="26:27">
      <c r="Z189" s="406">
        <v>99</v>
      </c>
      <c r="AA189" s="406">
        <v>10.89</v>
      </c>
    </row>
    <row r="190" spans="26:27">
      <c r="Z190" s="406">
        <v>100</v>
      </c>
      <c r="AA190" s="406">
        <v>11.06</v>
      </c>
    </row>
    <row r="191" spans="26:27">
      <c r="Z191" s="406">
        <v>101</v>
      </c>
      <c r="AA191" s="406">
        <v>12.61</v>
      </c>
    </row>
    <row r="192" spans="26:27">
      <c r="Z192" s="406">
        <v>102</v>
      </c>
      <c r="AA192" s="406">
        <v>13.19</v>
      </c>
    </row>
    <row r="193" spans="26:27">
      <c r="Z193" s="406">
        <v>103</v>
      </c>
      <c r="AA193" s="406">
        <v>12.99</v>
      </c>
    </row>
    <row r="194" spans="26:27">
      <c r="Z194" s="406">
        <v>104</v>
      </c>
      <c r="AA194" s="406">
        <v>13.37</v>
      </c>
    </row>
    <row r="195" spans="26:27">
      <c r="Z195" s="406">
        <v>105</v>
      </c>
      <c r="AA195" s="406">
        <v>10.76</v>
      </c>
    </row>
    <row r="196" spans="26:27">
      <c r="Z196" s="406">
        <v>106</v>
      </c>
      <c r="AA196" s="406">
        <v>13.43</v>
      </c>
    </row>
    <row r="197" spans="26:27">
      <c r="Z197" s="406">
        <v>107</v>
      </c>
      <c r="AA197" s="406">
        <v>11.11</v>
      </c>
    </row>
    <row r="198" spans="26:27">
      <c r="Z198" s="406">
        <v>108</v>
      </c>
      <c r="AA198" s="406">
        <v>11.1</v>
      </c>
    </row>
    <row r="199" spans="26:27">
      <c r="Z199" s="406">
        <v>109</v>
      </c>
      <c r="AA199" s="406">
        <v>12.85</v>
      </c>
    </row>
    <row r="200" spans="26:27">
      <c r="Z200" s="406">
        <v>110</v>
      </c>
      <c r="AA200" s="406">
        <v>13.16</v>
      </c>
    </row>
    <row r="201" spans="26:27">
      <c r="Z201" s="406">
        <v>111</v>
      </c>
      <c r="AA201" s="406">
        <v>13.27</v>
      </c>
    </row>
    <row r="202" spans="26:27">
      <c r="Z202" s="406">
        <v>112</v>
      </c>
      <c r="AA202" s="406">
        <v>13.39</v>
      </c>
    </row>
    <row r="203" spans="26:27">
      <c r="Z203" s="406">
        <v>113</v>
      </c>
      <c r="AA203" s="406">
        <v>12.87</v>
      </c>
    </row>
    <row r="204" spans="26:27">
      <c r="Z204" s="406">
        <v>114</v>
      </c>
      <c r="AA204" s="406">
        <v>13.25</v>
      </c>
    </row>
    <row r="205" spans="26:27">
      <c r="Z205" s="406">
        <v>115</v>
      </c>
      <c r="AA205" s="406">
        <v>13.18</v>
      </c>
    </row>
    <row r="206" spans="26:27">
      <c r="Z206" s="406">
        <v>116</v>
      </c>
      <c r="AA206" s="406">
        <v>13.09</v>
      </c>
    </row>
    <row r="207" spans="26:27">
      <c r="Z207" s="406">
        <v>117</v>
      </c>
      <c r="AA207" s="406">
        <v>11.16</v>
      </c>
    </row>
    <row r="208" spans="26:27">
      <c r="Z208" s="406">
        <v>118</v>
      </c>
      <c r="AA208" s="406">
        <v>12.91</v>
      </c>
    </row>
    <row r="209" spans="26:27">
      <c r="Z209" s="406">
        <v>119</v>
      </c>
      <c r="AA209" s="406">
        <v>12.63</v>
      </c>
    </row>
    <row r="210" spans="26:27">
      <c r="Z210" s="406">
        <v>120</v>
      </c>
      <c r="AA210" s="406">
        <v>11.16</v>
      </c>
    </row>
    <row r="211" spans="26:27">
      <c r="Z211" s="406">
        <v>121</v>
      </c>
      <c r="AA211" s="406">
        <v>10.78</v>
      </c>
    </row>
    <row r="212" spans="26:27">
      <c r="Z212" s="406">
        <v>122</v>
      </c>
      <c r="AA212" s="406">
        <v>10.69</v>
      </c>
    </row>
    <row r="213" spans="26:27">
      <c r="Z213" s="406">
        <v>123</v>
      </c>
      <c r="AA213" s="406">
        <v>10.92</v>
      </c>
    </row>
    <row r="214" spans="26:27">
      <c r="Z214" s="406">
        <v>124</v>
      </c>
      <c r="AA214" s="406">
        <v>10.99</v>
      </c>
    </row>
    <row r="215" spans="26:27">
      <c r="Z215" s="406">
        <v>125</v>
      </c>
      <c r="AA215" s="406">
        <v>11.12</v>
      </c>
    </row>
    <row r="216" spans="26:27">
      <c r="Z216" s="406">
        <v>126</v>
      </c>
      <c r="AA216" s="406">
        <v>11.11</v>
      </c>
    </row>
    <row r="217" spans="26:27">
      <c r="Z217" s="406">
        <v>127</v>
      </c>
      <c r="AA217" s="406">
        <v>11.03</v>
      </c>
    </row>
    <row r="218" spans="26:27">
      <c r="Z218" s="406">
        <v>128</v>
      </c>
      <c r="AA218" s="406">
        <v>11.07</v>
      </c>
    </row>
    <row r="219" spans="26:27">
      <c r="Z219" s="406">
        <v>129</v>
      </c>
      <c r="AA219" s="406">
        <v>12.31</v>
      </c>
    </row>
    <row r="220" spans="26:27">
      <c r="Z220" s="406">
        <v>130</v>
      </c>
      <c r="AA220" s="406">
        <v>10.95</v>
      </c>
    </row>
    <row r="221" spans="26:27">
      <c r="Z221" s="406">
        <v>131</v>
      </c>
      <c r="AA221" s="406">
        <v>10.95</v>
      </c>
    </row>
    <row r="222" spans="26:27">
      <c r="Z222" s="406">
        <v>132</v>
      </c>
      <c r="AA222" s="406">
        <v>11.1</v>
      </c>
    </row>
    <row r="223" spans="26:27">
      <c r="Z223" s="406">
        <v>133</v>
      </c>
      <c r="AA223" s="406">
        <v>11.04</v>
      </c>
    </row>
    <row r="224" spans="26:27">
      <c r="Z224" s="406">
        <v>134</v>
      </c>
      <c r="AA224" s="406">
        <v>11.12</v>
      </c>
    </row>
    <row r="225" spans="26:27">
      <c r="Z225" s="406">
        <v>135</v>
      </c>
      <c r="AA225" s="406">
        <v>11.03</v>
      </c>
    </row>
    <row r="226" spans="26:27">
      <c r="Z226" s="406">
        <v>136</v>
      </c>
      <c r="AA226" s="406">
        <v>10.72</v>
      </c>
    </row>
    <row r="227" spans="26:27">
      <c r="Z227" s="406">
        <v>137</v>
      </c>
      <c r="AA227" s="406">
        <v>10.89</v>
      </c>
    </row>
    <row r="228" spans="26:27">
      <c r="Z228" s="406">
        <v>138</v>
      </c>
      <c r="AA228" s="406">
        <v>11.15</v>
      </c>
    </row>
    <row r="229" spans="26:27">
      <c r="Z229" s="406">
        <v>139</v>
      </c>
      <c r="AA229" s="406">
        <v>11.36</v>
      </c>
    </row>
    <row r="230" spans="26:27">
      <c r="Z230" s="406">
        <v>140</v>
      </c>
      <c r="AA230" s="406">
        <v>11.45</v>
      </c>
    </row>
    <row r="231" spans="26:27">
      <c r="Z231" s="406">
        <v>141</v>
      </c>
      <c r="AA231" s="406">
        <v>11.26</v>
      </c>
    </row>
    <row r="232" spans="26:27">
      <c r="Z232" s="406">
        <v>142</v>
      </c>
      <c r="AA232" s="406">
        <v>11</v>
      </c>
    </row>
    <row r="233" spans="26:27">
      <c r="Z233" s="406">
        <v>143</v>
      </c>
      <c r="AA233" s="406">
        <v>11.38</v>
      </c>
    </row>
    <row r="234" spans="26:27">
      <c r="Z234" s="406">
        <v>144</v>
      </c>
      <c r="AA234" s="406">
        <v>11.17</v>
      </c>
    </row>
    <row r="235" spans="26:27">
      <c r="Z235" s="406">
        <v>145</v>
      </c>
      <c r="AA235" s="406">
        <v>11.19</v>
      </c>
    </row>
    <row r="236" spans="26:27">
      <c r="Z236" s="406">
        <v>146</v>
      </c>
      <c r="AA236" s="406">
        <v>10.77</v>
      </c>
    </row>
    <row r="237" spans="26:27">
      <c r="Z237" s="406">
        <v>147</v>
      </c>
      <c r="AA237" s="406">
        <v>11.23</v>
      </c>
    </row>
    <row r="238" spans="26:27">
      <c r="Z238" s="406">
        <v>148</v>
      </c>
      <c r="AA238" s="406">
        <v>11.15</v>
      </c>
    </row>
    <row r="239" spans="26:27">
      <c r="Z239" s="406">
        <v>149</v>
      </c>
      <c r="AA239" s="406">
        <v>12.38</v>
      </c>
    </row>
    <row r="240" spans="26:27">
      <c r="Z240" s="406">
        <v>150</v>
      </c>
      <c r="AA240" s="406">
        <v>13.29</v>
      </c>
    </row>
    <row r="241" spans="26:27">
      <c r="Z241" s="406">
        <v>151</v>
      </c>
      <c r="AA241" s="406">
        <v>11</v>
      </c>
    </row>
    <row r="242" spans="26:27">
      <c r="Z242" s="406">
        <v>152</v>
      </c>
      <c r="AA242" s="406">
        <v>12.83</v>
      </c>
    </row>
    <row r="243" spans="26:27">
      <c r="Z243" s="406">
        <v>153</v>
      </c>
      <c r="AA243" s="406">
        <v>13.12</v>
      </c>
    </row>
    <row r="244" spans="26:27">
      <c r="Z244" s="406">
        <v>154</v>
      </c>
      <c r="AA244" s="406">
        <v>11.25</v>
      </c>
    </row>
    <row r="245" spans="26:27">
      <c r="Z245" s="406">
        <v>155</v>
      </c>
      <c r="AA245" s="406">
        <v>10.73</v>
      </c>
    </row>
    <row r="246" spans="26:27">
      <c r="Z246" s="406">
        <v>156</v>
      </c>
      <c r="AA246" s="406">
        <v>12.96</v>
      </c>
    </row>
    <row r="247" spans="26:27">
      <c r="Z247" s="406">
        <v>157</v>
      </c>
      <c r="AA247" s="406">
        <v>13.39</v>
      </c>
    </row>
    <row r="248" spans="26:27">
      <c r="Z248" s="406">
        <v>158</v>
      </c>
      <c r="AA248" s="406">
        <v>10.72</v>
      </c>
    </row>
    <row r="249" spans="26:27">
      <c r="Z249" s="406">
        <v>159</v>
      </c>
      <c r="AA249" s="406">
        <v>11.05</v>
      </c>
    </row>
    <row r="250" spans="26:27">
      <c r="Z250" s="406">
        <v>160</v>
      </c>
      <c r="AA250" s="406">
        <v>11.07</v>
      </c>
    </row>
    <row r="251" spans="26:27">
      <c r="Z251" s="406">
        <v>161</v>
      </c>
      <c r="AA251" s="406">
        <v>10.85</v>
      </c>
    </row>
    <row r="252" spans="26:27">
      <c r="Z252" s="406">
        <v>162</v>
      </c>
      <c r="AA252" s="406">
        <v>10.9</v>
      </c>
    </row>
    <row r="253" spans="26:27">
      <c r="Z253" s="406">
        <v>163</v>
      </c>
      <c r="AA253" s="406">
        <v>10.96</v>
      </c>
    </row>
    <row r="254" spans="26:27">
      <c r="Z254" s="406">
        <v>164</v>
      </c>
      <c r="AA254" s="406">
        <v>11.04</v>
      </c>
    </row>
    <row r="255" spans="26:27">
      <c r="Z255" s="406">
        <v>165</v>
      </c>
      <c r="AA255" s="406">
        <v>10.96</v>
      </c>
    </row>
    <row r="256" spans="26:27">
      <c r="Z256" s="406">
        <v>166</v>
      </c>
      <c r="AA256" s="406">
        <v>12.73</v>
      </c>
    </row>
    <row r="257" spans="26:27">
      <c r="Z257" s="406">
        <v>167</v>
      </c>
      <c r="AA257" s="406">
        <v>10.86</v>
      </c>
    </row>
    <row r="258" spans="26:27">
      <c r="Z258" s="406">
        <v>168</v>
      </c>
      <c r="AA258" s="406">
        <v>10.97</v>
      </c>
    </row>
    <row r="259" spans="26:27">
      <c r="Z259" s="406">
        <v>169</v>
      </c>
      <c r="AA259" s="406">
        <v>11.07</v>
      </c>
    </row>
    <row r="260" spans="26:27">
      <c r="Z260" s="406">
        <v>170</v>
      </c>
      <c r="AA260" s="406">
        <v>13.05</v>
      </c>
    </row>
    <row r="261" spans="26:27">
      <c r="Z261" s="406">
        <v>171</v>
      </c>
      <c r="AA261" s="406">
        <v>12.98</v>
      </c>
    </row>
    <row r="262" spans="26:27">
      <c r="Z262" s="406">
        <v>172</v>
      </c>
      <c r="AA262" s="406">
        <v>13.21</v>
      </c>
    </row>
    <row r="263" spans="26:27">
      <c r="Z263" s="406">
        <v>173</v>
      </c>
      <c r="AA263" s="406">
        <v>12.97</v>
      </c>
    </row>
    <row r="264" spans="26:27">
      <c r="Z264" s="406">
        <v>174</v>
      </c>
      <c r="AA264" s="406">
        <v>12.71</v>
      </c>
    </row>
    <row r="265" spans="26:27">
      <c r="Z265" s="406">
        <v>175</v>
      </c>
      <c r="AA265" s="406">
        <v>12.53</v>
      </c>
    </row>
    <row r="266" spans="26:27">
      <c r="Z266" s="406">
        <v>176</v>
      </c>
      <c r="AA266" s="406">
        <v>13.07</v>
      </c>
    </row>
    <row r="267" spans="26:27">
      <c r="Z267" s="406">
        <v>177</v>
      </c>
      <c r="AA267" s="406">
        <v>13.04</v>
      </c>
    </row>
    <row r="268" spans="26:27">
      <c r="Z268" s="406">
        <v>178</v>
      </c>
      <c r="AA268" s="406">
        <v>13.29</v>
      </c>
    </row>
    <row r="269" spans="26:27">
      <c r="Z269" s="406">
        <v>179</v>
      </c>
      <c r="AA269" s="406">
        <v>12.93</v>
      </c>
    </row>
    <row r="270" spans="26:27">
      <c r="Z270" s="406">
        <v>180</v>
      </c>
      <c r="AA270" s="406">
        <v>13.26</v>
      </c>
    </row>
    <row r="271" spans="26:27">
      <c r="Z271" s="406">
        <v>181</v>
      </c>
      <c r="AA271" s="406">
        <v>13</v>
      </c>
    </row>
    <row r="272" spans="26:27">
      <c r="Z272" s="406">
        <v>182</v>
      </c>
      <c r="AA272" s="406">
        <v>12.9</v>
      </c>
    </row>
    <row r="273" spans="26:27">
      <c r="Z273" s="406">
        <v>183</v>
      </c>
      <c r="AA273" s="406">
        <v>11.06</v>
      </c>
    </row>
    <row r="274" spans="26:27">
      <c r="Z274" s="406">
        <v>184</v>
      </c>
      <c r="AA274" s="406">
        <v>11.13</v>
      </c>
    </row>
    <row r="275" spans="26:27">
      <c r="Z275" s="406">
        <v>185</v>
      </c>
      <c r="AA275" s="406">
        <v>13.2</v>
      </c>
    </row>
    <row r="276" spans="26:27">
      <c r="Z276" s="406">
        <v>186</v>
      </c>
      <c r="AA276" s="406">
        <v>12.86</v>
      </c>
    </row>
    <row r="277" spans="26:27">
      <c r="Z277" s="406">
        <v>187</v>
      </c>
      <c r="AA277" s="406">
        <v>11.16</v>
      </c>
    </row>
    <row r="278" spans="26:27">
      <c r="Z278" s="406">
        <v>188</v>
      </c>
      <c r="AA278" s="406">
        <v>13.22</v>
      </c>
    </row>
    <row r="279" spans="26:27">
      <c r="Z279" s="406">
        <v>189</v>
      </c>
      <c r="AA279" s="406">
        <v>12.9</v>
      </c>
    </row>
    <row r="280" spans="26:27">
      <c r="Z280" s="406">
        <v>190</v>
      </c>
      <c r="AA280" s="406">
        <v>12.83</v>
      </c>
    </row>
    <row r="281" spans="26:27">
      <c r="Z281" s="406">
        <v>191</v>
      </c>
      <c r="AA281" s="406">
        <v>12.94</v>
      </c>
    </row>
    <row r="282" spans="26:27">
      <c r="Z282" s="406">
        <v>192</v>
      </c>
      <c r="AA282" s="406">
        <v>11.03</v>
      </c>
    </row>
    <row r="283" spans="26:27">
      <c r="Z283" s="406">
        <v>193</v>
      </c>
      <c r="AA283" s="406">
        <v>11.13</v>
      </c>
    </row>
    <row r="284" spans="26:27">
      <c r="Z284" s="406">
        <v>194</v>
      </c>
      <c r="AA284" s="406">
        <v>10.95</v>
      </c>
    </row>
    <row r="285" spans="26:27">
      <c r="Z285" s="406">
        <v>195</v>
      </c>
      <c r="AA285" s="406">
        <v>11.17</v>
      </c>
    </row>
    <row r="286" spans="26:27">
      <c r="Z286" s="406">
        <v>196</v>
      </c>
      <c r="AA286" s="406">
        <v>11.04</v>
      </c>
    </row>
    <row r="287" spans="26:27">
      <c r="Z287" s="406">
        <v>197</v>
      </c>
      <c r="AA287" s="406">
        <v>11.17</v>
      </c>
    </row>
    <row r="288" spans="26:27">
      <c r="Z288" s="406">
        <v>198</v>
      </c>
      <c r="AA288" s="406">
        <v>11</v>
      </c>
    </row>
    <row r="289" spans="26:27">
      <c r="Z289" s="406">
        <v>199</v>
      </c>
      <c r="AA289" s="406">
        <v>10.91</v>
      </c>
    </row>
    <row r="290" spans="26:27">
      <c r="Z290" s="406">
        <v>200</v>
      </c>
      <c r="AA290" s="406">
        <v>11.06</v>
      </c>
    </row>
  </sheetData>
  <mergeCells count="36">
    <mergeCell ref="C28:F28"/>
    <mergeCell ref="C29:F29"/>
    <mergeCell ref="C30:F30"/>
    <mergeCell ref="C31:F31"/>
    <mergeCell ref="C32:F32"/>
    <mergeCell ref="C22:C24"/>
    <mergeCell ref="D22:D23"/>
    <mergeCell ref="F22:F23"/>
    <mergeCell ref="G22:G23"/>
    <mergeCell ref="E3:L6"/>
    <mergeCell ref="C13:C15"/>
    <mergeCell ref="D13:D15"/>
    <mergeCell ref="E13:E14"/>
    <mergeCell ref="F13:F14"/>
    <mergeCell ref="G13:G14"/>
    <mergeCell ref="H13:H14"/>
    <mergeCell ref="J13:J14"/>
    <mergeCell ref="E10:J10"/>
    <mergeCell ref="L12:O12"/>
    <mergeCell ref="L13:O19"/>
    <mergeCell ref="R34:R35"/>
    <mergeCell ref="R37:R38"/>
    <mergeCell ref="M8:O8"/>
    <mergeCell ref="M9:O9"/>
    <mergeCell ref="H22:H23"/>
    <mergeCell ref="I22:I23"/>
    <mergeCell ref="L22:L24"/>
    <mergeCell ref="M22:M23"/>
    <mergeCell ref="N22:N23"/>
    <mergeCell ref="O22:O23"/>
    <mergeCell ref="M10:O10"/>
    <mergeCell ref="N28:O28"/>
    <mergeCell ref="N29:O29"/>
    <mergeCell ref="N30:O30"/>
    <mergeCell ref="N32:O32"/>
    <mergeCell ref="N31:O31"/>
  </mergeCells>
  <printOptions horizontalCentered="1"/>
  <pageMargins left="0.55118110236220474" right="0.55118110236220474" top="0.86614173228346458" bottom="0.59055118110236227" header="0" footer="0"/>
  <pageSetup scale="97" orientation="portrait" r:id="rId1"/>
  <headerFooter alignWithMargins="0"/>
  <colBreaks count="1" manualBreakCount="1">
    <brk id="1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70df1-d5e0-438c-ae77-62f98b882402">
      <Terms xmlns="http://schemas.microsoft.com/office/infopath/2007/PartnerControls"/>
    </lcf76f155ced4ddcb4097134ff3c332f>
    <TaxCatchAll xmlns="f85ba6f4-d696-409f-a5fe-5ab2793d4b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A317914579E4428575D244F4C40623" ma:contentTypeVersion="19" ma:contentTypeDescription="Crear nuevo documento." ma:contentTypeScope="" ma:versionID="1832fd7d9621e8ea2048617cd92335b3">
  <xsd:schema xmlns:xsd="http://www.w3.org/2001/XMLSchema" xmlns:xs="http://www.w3.org/2001/XMLSchema" xmlns:p="http://schemas.microsoft.com/office/2006/metadata/properties" xmlns:ns2="f85ba6f4-d696-409f-a5fe-5ab2793d4b60" xmlns:ns3="3d070df1-d5e0-438c-ae77-62f98b882402" targetNamespace="http://schemas.microsoft.com/office/2006/metadata/properties" ma:root="true" ma:fieldsID="d131bf0c26d35c0f27c9a8e190a143c8" ns2:_="" ns3:_="">
    <xsd:import namespace="f85ba6f4-d696-409f-a5fe-5ab2793d4b60"/>
    <xsd:import namespace="3d070df1-d5e0-438c-ae77-62f98b882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ba6f4-d696-409f-a5fe-5ab2793d4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8bd9071c-ed12-4d80-aeea-f8b002abcc14}" ma:internalName="TaxCatchAll" ma:showField="CatchAllData" ma:web="f85ba6f4-d696-409f-a5fe-5ab2793d4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70df1-d5e0-438c-ae77-62f98b882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9b72c25-e665-4795-94d2-f62edde0d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70C8903-B745-4E1E-A1D6-27DE2EEDA7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3C3CB8-3829-49F3-9294-FD4DB093530C}">
  <ds:schemaRefs>
    <ds:schemaRef ds:uri="http://purl.org/dc/dcmitype/"/>
    <ds:schemaRef ds:uri="f85ba6f4-d696-409f-a5fe-5ab2793d4b60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d070df1-d5e0-438c-ae77-62f98b882402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D08AF2-0D9E-4E06-A777-A8DF7CBB7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ba6f4-d696-409f-a5fe-5ab2793d4b60"/>
    <ds:schemaRef ds:uri="3d070df1-d5e0-438c-ae77-62f98b882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AD14D47-47AC-40DE-B484-CDF7F175431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Datos</vt:lpstr>
      <vt:lpstr>w%</vt:lpstr>
      <vt:lpstr>MO</vt:lpstr>
      <vt:lpstr>Gs</vt:lpstr>
      <vt:lpstr>Granulometría</vt:lpstr>
      <vt:lpstr>Límites</vt:lpstr>
      <vt:lpstr>Datos!Área_de_impresión</vt:lpstr>
      <vt:lpstr>Granulometría!Área_de_impresión</vt:lpstr>
      <vt:lpstr>Gs!Área_de_impresión</vt:lpstr>
      <vt:lpstr>Límites!Área_de_impresión</vt:lpstr>
      <vt:lpstr>MO!Área_de_impresión</vt:lpstr>
      <vt:lpstr>'w%'!Área_de_impresión</vt:lpstr>
    </vt:vector>
  </TitlesOfParts>
  <Company>AGMA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INGENIERIA CIVIL</dc:subject>
  <dc:creator>ING. GUILLERMO</dc:creator>
  <cp:keywords>LABORATORIO</cp:keywords>
  <dc:description>Los formatos estan protegidos cualquier modificacion debe ser informado al autor.</dc:description>
  <cp:lastModifiedBy>CRISTOBAL</cp:lastModifiedBy>
  <cp:lastPrinted>2025-07-01T22:25:56Z</cp:lastPrinted>
  <dcterms:created xsi:type="dcterms:W3CDTF">1998-07-29T23:34:57Z</dcterms:created>
  <dcterms:modified xsi:type="dcterms:W3CDTF">2026-04-13T22:21:18Z</dcterms:modified>
  <cp:category>GEOTECNIA</cp:category>
  <cp:contentStatus>ACTUALIZADO 2025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0x010100E9A317914579E4428575D244F4C40623</vt:lpwstr>
  </property>
</Properties>
</file>